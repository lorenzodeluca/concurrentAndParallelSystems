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concurrentAndParallelSystems2025\3) exam - third part - optional HPC project\report\"/>
    </mc:Choice>
  </mc:AlternateContent>
  <xr:revisionPtr revIDLastSave="0" documentId="13_ncr:1_{6149B8D3-EBF8-475C-AA2D-F6B92D5C27F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pi 1 node" sheetId="6" r:id="rId1"/>
    <sheet name="mpi 25nodes" sheetId="19" r:id="rId2"/>
    <sheet name="omp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6" l="1"/>
  <c r="G36" i="19"/>
  <c r="H36" i="19" s="1"/>
  <c r="E36" i="19"/>
  <c r="G35" i="19"/>
  <c r="H35" i="19" s="1"/>
  <c r="E35" i="19"/>
  <c r="H34" i="19"/>
  <c r="G34" i="19"/>
  <c r="E34" i="19"/>
  <c r="G33" i="19"/>
  <c r="H33" i="19" s="1"/>
  <c r="E33" i="19"/>
  <c r="G32" i="19"/>
  <c r="H32" i="19" s="1"/>
  <c r="E32" i="19"/>
  <c r="G31" i="19"/>
  <c r="H31" i="19" s="1"/>
  <c r="E31" i="19"/>
  <c r="G30" i="19"/>
  <c r="H30" i="19" s="1"/>
  <c r="E30" i="19"/>
  <c r="H29" i="19"/>
  <c r="G29" i="19"/>
  <c r="E29" i="19"/>
  <c r="G28" i="19"/>
  <c r="H28" i="19" s="1"/>
  <c r="E28" i="19"/>
  <c r="G27" i="19"/>
  <c r="H27" i="19" s="1"/>
  <c r="E27" i="19"/>
  <c r="H26" i="19"/>
  <c r="G26" i="19"/>
  <c r="E26" i="19"/>
  <c r="G25" i="19"/>
  <c r="H25" i="19" s="1"/>
  <c r="E25" i="19"/>
  <c r="G24" i="19"/>
  <c r="H24" i="19" s="1"/>
  <c r="E24" i="19"/>
  <c r="G15" i="19"/>
  <c r="H15" i="19" s="1"/>
  <c r="E15" i="19"/>
  <c r="G14" i="19"/>
  <c r="H14" i="19" s="1"/>
  <c r="E14" i="19"/>
  <c r="H13" i="19"/>
  <c r="G13" i="19"/>
  <c r="E13" i="19"/>
  <c r="G12" i="19"/>
  <c r="H12" i="19" s="1"/>
  <c r="E12" i="19"/>
  <c r="G11" i="19"/>
  <c r="H11" i="19" s="1"/>
  <c r="E11" i="19"/>
  <c r="H10" i="19"/>
  <c r="G10" i="19"/>
  <c r="E10" i="19"/>
  <c r="G9" i="19"/>
  <c r="H9" i="19" s="1"/>
  <c r="E9" i="19"/>
  <c r="G8" i="19"/>
  <c r="H8" i="19" s="1"/>
  <c r="E8" i="19"/>
  <c r="G7" i="19"/>
  <c r="H7" i="19" s="1"/>
  <c r="E7" i="19"/>
  <c r="G6" i="19"/>
  <c r="H6" i="19" s="1"/>
  <c r="E6" i="19"/>
  <c r="H5" i="19"/>
  <c r="G5" i="19"/>
  <c r="E5" i="19"/>
  <c r="G4" i="19"/>
  <c r="H4" i="19" s="1"/>
  <c r="E4" i="19"/>
  <c r="G3" i="19"/>
  <c r="H3" i="19" s="1"/>
  <c r="E3" i="19"/>
  <c r="G11" i="13"/>
  <c r="H11" i="13"/>
  <c r="E24" i="6"/>
  <c r="G7" i="13"/>
  <c r="H7" i="13" s="1"/>
  <c r="G35" i="13"/>
  <c r="G28" i="13"/>
  <c r="H35" i="13"/>
  <c r="G26" i="13"/>
  <c r="G27" i="13"/>
  <c r="G29" i="13"/>
  <c r="H29" i="13" s="1"/>
  <c r="G30" i="13"/>
  <c r="G31" i="13"/>
  <c r="G32" i="13"/>
  <c r="H32" i="13" s="1"/>
  <c r="G33" i="13"/>
  <c r="G34" i="13"/>
  <c r="G36" i="13"/>
  <c r="G37" i="13"/>
  <c r="H37" i="13" s="1"/>
  <c r="G25" i="13"/>
  <c r="H25" i="13" s="1"/>
  <c r="E27" i="13"/>
  <c r="E26" i="13"/>
  <c r="E25" i="13"/>
  <c r="E37" i="13"/>
  <c r="H36" i="13"/>
  <c r="E36" i="13"/>
  <c r="E35" i="13"/>
  <c r="H34" i="13"/>
  <c r="E34" i="13"/>
  <c r="H33" i="13"/>
  <c r="E33" i="13"/>
  <c r="E32" i="13"/>
  <c r="H31" i="13"/>
  <c r="E31" i="13"/>
  <c r="H30" i="13"/>
  <c r="E30" i="13"/>
  <c r="E29" i="13"/>
  <c r="H28" i="13"/>
  <c r="E28" i="13"/>
  <c r="H27" i="13"/>
  <c r="H26" i="13"/>
  <c r="G3" i="13"/>
  <c r="H3" i="13" s="1"/>
  <c r="G15" i="13"/>
  <c r="H15" i="13" s="1"/>
  <c r="G4" i="13"/>
  <c r="H4" i="13" s="1"/>
  <c r="G5" i="13"/>
  <c r="H5" i="13" s="1"/>
  <c r="G6" i="13"/>
  <c r="H6" i="13" s="1"/>
  <c r="G8" i="13"/>
  <c r="H8" i="13" s="1"/>
  <c r="G9" i="13"/>
  <c r="H9" i="13" s="1"/>
  <c r="G10" i="13"/>
  <c r="H10" i="13" s="1"/>
  <c r="G12" i="13"/>
  <c r="H12" i="13" s="1"/>
  <c r="G13" i="13"/>
  <c r="H13" i="13" s="1"/>
  <c r="G14" i="13"/>
  <c r="H14" i="13" s="1"/>
  <c r="E4" i="13"/>
  <c r="E5" i="13"/>
  <c r="E6" i="13"/>
  <c r="E7" i="13"/>
  <c r="E8" i="13"/>
  <c r="E9" i="13"/>
  <c r="E10" i="13"/>
  <c r="E11" i="13"/>
  <c r="E12" i="13"/>
  <c r="E13" i="13"/>
  <c r="E14" i="13"/>
  <c r="E15" i="13"/>
  <c r="E3" i="13"/>
  <c r="G26" i="6"/>
  <c r="H26" i="6" s="1"/>
  <c r="G29" i="6"/>
  <c r="H29" i="6" s="1"/>
  <c r="G27" i="6"/>
  <c r="H27" i="6" s="1"/>
  <c r="H25" i="6"/>
  <c r="G24" i="6"/>
  <c r="H24" i="6" s="1"/>
  <c r="G10" i="6"/>
  <c r="G6" i="6"/>
  <c r="H6" i="6" s="1"/>
  <c r="G4" i="6"/>
  <c r="H4" i="6" s="1"/>
  <c r="G5" i="6"/>
  <c r="H5" i="6" s="1"/>
  <c r="G7" i="6"/>
  <c r="G8" i="6"/>
  <c r="G9" i="6"/>
  <c r="G11" i="6"/>
  <c r="G12" i="6"/>
  <c r="G13" i="6"/>
  <c r="G14" i="6"/>
  <c r="H14" i="6" s="1"/>
  <c r="G15" i="6"/>
  <c r="G3" i="6"/>
  <c r="H3" i="6" s="1"/>
  <c r="G32" i="6"/>
  <c r="H32" i="6" s="1"/>
  <c r="G28" i="6"/>
  <c r="H28" i="6" s="1"/>
  <c r="G30" i="6"/>
  <c r="H30" i="6" s="1"/>
  <c r="G31" i="6"/>
  <c r="H31" i="6" s="1"/>
  <c r="G33" i="6"/>
  <c r="H33" i="6" s="1"/>
  <c r="G34" i="6"/>
  <c r="H34" i="6" s="1"/>
  <c r="G35" i="6"/>
  <c r="H35" i="6" s="1"/>
  <c r="G36" i="6"/>
  <c r="H36" i="6" s="1"/>
  <c r="E36" i="6"/>
  <c r="E25" i="6"/>
  <c r="E26" i="6"/>
  <c r="E27" i="6"/>
  <c r="E28" i="6"/>
  <c r="E29" i="6"/>
  <c r="E30" i="6"/>
  <c r="E31" i="6"/>
  <c r="E32" i="6"/>
  <c r="E33" i="6"/>
  <c r="E34" i="6"/>
  <c r="E35" i="6"/>
  <c r="E4" i="6"/>
  <c r="E5" i="6"/>
  <c r="E6" i="6"/>
  <c r="E7" i="6"/>
  <c r="E8" i="6"/>
  <c r="E9" i="6"/>
  <c r="E10" i="6"/>
  <c r="E11" i="6"/>
  <c r="E12" i="6"/>
  <c r="E13" i="6"/>
  <c r="E14" i="6"/>
  <c r="E15" i="6"/>
  <c r="E3" i="6"/>
  <c r="H7" i="6" l="1"/>
  <c r="H13" i="6"/>
  <c r="H12" i="6"/>
  <c r="H11" i="6"/>
  <c r="H10" i="6"/>
  <c r="H9" i="6"/>
  <c r="H8" i="6"/>
  <c r="H1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6232D-1FD1-4721-8F93-F85D394691C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7F28241D-950B-4BBD-941F-B98C298CABAC}" keepAlive="1" name="Query - out (10)" description="Connection to the 'out (10)' query in the workbook." type="5" refreshedVersion="0" background="1">
    <dbPr connection="Provider=Microsoft.Mashup.OleDb.1;Data Source=$Workbook$;Location=&quot;out (10)&quot;;Extended Properties=&quot;&quot;" command="SELECT * FROM [out (10)]"/>
  </connection>
  <connection id="3" xr16:uid="{01A15927-BAC2-4D3B-8F52-4057D8878B8A}" keepAlive="1" name="Query - out (11)" description="Connection to the 'out (11)' query in the workbook." type="5" refreshedVersion="0" background="1">
    <dbPr connection="Provider=Microsoft.Mashup.OleDb.1;Data Source=$Workbook$;Location=&quot;out (11)&quot;;Extended Properties=&quot;&quot;" command="SELECT * FROM [out (11)]"/>
  </connection>
  <connection id="4" xr16:uid="{537416AB-0DBA-4888-88F5-795DC4FC1684}" keepAlive="1" name="Query - out (12)" description="Connection to the 'out (12)' query in the workbook." type="5" refreshedVersion="0" background="1">
    <dbPr connection="Provider=Microsoft.Mashup.OleDb.1;Data Source=$Workbook$;Location=&quot;out (12)&quot;;Extended Properties=&quot;&quot;" command="SELECT * FROM [out (12)]"/>
  </connection>
  <connection id="5" xr16:uid="{FC623EC0-2A0C-4969-A4F9-946A3A1EBDEE}" keepAlive="1" name="Query - out (13)" description="Connection to the 'out (13)' query in the workbook." type="5" refreshedVersion="0" background="1">
    <dbPr connection="Provider=Microsoft.Mashup.OleDb.1;Data Source=$Workbook$;Location=&quot;out (13)&quot;;Extended Properties=&quot;&quot;" command="SELECT * FROM [out (13)]"/>
  </connection>
  <connection id="6" xr16:uid="{842C7077-941B-4E64-8EE0-F9278C3931FF}" keepAlive="1" name="Query - out (2)" description="Connection to the 'out (2)' query in the workbook." type="5" refreshedVersion="0" background="1">
    <dbPr connection="Provider=Microsoft.Mashup.OleDb.1;Data Source=$Workbook$;Location=&quot;out (2)&quot;;Extended Properties=&quot;&quot;" command="SELECT * FROM [out (2)]"/>
  </connection>
  <connection id="7" xr16:uid="{8E118C4D-DA71-4B57-B9BC-872A83A5939C}" keepAlive="1" name="Query - out (3)" description="Connection to the 'out (3)' query in the workbook." type="5" refreshedVersion="0" background="1">
    <dbPr connection="Provider=Microsoft.Mashup.OleDb.1;Data Source=$Workbook$;Location=&quot;out (3)&quot;;Extended Properties=&quot;&quot;" command="SELECT * FROM [out (3)]"/>
  </connection>
  <connection id="8" xr16:uid="{6A588D5D-D5E8-4392-A1CD-9468254DA317}" keepAlive="1" name="Query - out (4)" description="Connection to the 'out (4)' query in the workbook." type="5" refreshedVersion="0" background="1">
    <dbPr connection="Provider=Microsoft.Mashup.OleDb.1;Data Source=$Workbook$;Location=&quot;out (4)&quot;;Extended Properties=&quot;&quot;" command="SELECT * FROM [out (4)]"/>
  </connection>
  <connection id="9" xr16:uid="{D88A9D88-AA93-411B-A8B3-05C8D7D4F668}" keepAlive="1" name="Query - out (5)" description="Connection to the 'out (5)' query in the workbook." type="5" refreshedVersion="0" background="1">
    <dbPr connection="Provider=Microsoft.Mashup.OleDb.1;Data Source=$Workbook$;Location=&quot;out (5)&quot;;Extended Properties=&quot;&quot;" command="SELECT * FROM [out (5)]"/>
  </connection>
  <connection id="10" xr16:uid="{B10D7EC2-9855-4690-B1E2-E3489D5F3CC9}" keepAlive="1" name="Query - out (6)" description="Connection to the 'out (6)' query in the workbook." type="5" refreshedVersion="0" background="1">
    <dbPr connection="Provider=Microsoft.Mashup.OleDb.1;Data Source=$Workbook$;Location=&quot;out (6)&quot;;Extended Properties=&quot;&quot;" command="SELECT * FROM [out (6)]"/>
  </connection>
  <connection id="11" xr16:uid="{FF370B19-21D8-4E7D-A2F0-8596361CEA9A}" keepAlive="1" name="Query - out (7)" description="Connection to the 'out (7)' query in the workbook." type="5" refreshedVersion="0" background="1">
    <dbPr connection="Provider=Microsoft.Mashup.OleDb.1;Data Source=$Workbook$;Location=&quot;out (7)&quot;;Extended Properties=&quot;&quot;" command="SELECT * FROM [out (7)]"/>
  </connection>
  <connection id="12" xr16:uid="{51720AD4-9883-43BA-90DB-0B54665F88D4}" keepAlive="1" name="Query - out (8)" description="Connection to the 'out (8)' query in the workbook." type="5" refreshedVersion="0" background="1">
    <dbPr connection="Provider=Microsoft.Mashup.OleDb.1;Data Source=$Workbook$;Location=&quot;out (8)&quot;;Extended Properties=&quot;&quot;" command="SELECT * FROM [out (8)]"/>
  </connection>
  <connection id="13" xr16:uid="{F339D91E-C7D8-45B1-A513-FFED5335FD58}" keepAlive="1" name="Query - out (9)" description="Connection to the 'out (9)' query in the workbook." type="5" refreshedVersion="0" background="1">
    <dbPr connection="Provider=Microsoft.Mashup.OleDb.1;Data Source=$Workbook$;Location=&quot;out (9)&quot;;Extended Properties=&quot;&quot;" command="SELECT * FROM [out (9)]"/>
  </connection>
</connections>
</file>

<file path=xl/sharedStrings.xml><?xml version="1.0" encoding="utf-8"?>
<sst xmlns="http://schemas.openxmlformats.org/spreadsheetml/2006/main" count="54" uniqueCount="12">
  <si>
    <t>P</t>
  </si>
  <si>
    <t>N</t>
  </si>
  <si>
    <t>nodes</t>
  </si>
  <si>
    <t>Speedup</t>
  </si>
  <si>
    <t>Efficenza</t>
  </si>
  <si>
    <t>sequentialT(s)</t>
  </si>
  <si>
    <t>parallelT(s)</t>
  </si>
  <si>
    <t>totalT(s)</t>
  </si>
  <si>
    <t>STRONG SCALABILITY MPI</t>
  </si>
  <si>
    <t>WEAK SCALABILITY MPI</t>
  </si>
  <si>
    <t>STRONG SCALABILITY OMP</t>
  </si>
  <si>
    <t>WEAK SCALABILITY 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</si>
</sst>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4" borderId="1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1 node'!$A$3:$A$15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1 node'!$G$3:$G$15</c:f>
              <c:numCache>
                <c:formatCode>General</c:formatCode>
                <c:ptCount val="13"/>
                <c:pt idx="0">
                  <c:v>1</c:v>
                </c:pt>
                <c:pt idx="1">
                  <c:v>2.465078670868067</c:v>
                </c:pt>
                <c:pt idx="2">
                  <c:v>2.0751289809319808</c:v>
                </c:pt>
                <c:pt idx="3">
                  <c:v>2.325497132011956</c:v>
                </c:pt>
                <c:pt idx="4">
                  <c:v>2.3664709351910962</c:v>
                </c:pt>
                <c:pt idx="5">
                  <c:v>2.3624817947314303</c:v>
                </c:pt>
                <c:pt idx="6">
                  <c:v>2.405535401631568</c:v>
                </c:pt>
                <c:pt idx="7">
                  <c:v>2.4647396974037967</c:v>
                </c:pt>
                <c:pt idx="8">
                  <c:v>2.5005863701283704</c:v>
                </c:pt>
                <c:pt idx="9">
                  <c:v>2.3784893655856085</c:v>
                </c:pt>
                <c:pt idx="10">
                  <c:v>2.2126750550901191</c:v>
                </c:pt>
                <c:pt idx="11">
                  <c:v>2.1637120642040379</c:v>
                </c:pt>
                <c:pt idx="12">
                  <c:v>2.1851940255561804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FC-4E99-8B19-6A327F9AF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1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node'!$G$23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1 node'!$A$24:$A$36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1 node'!$G$24:$G$36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0.10116278089650871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5.6696203443555943E-2</c:v>
                </c:pt>
                <c:pt idx="11">
                  <c:v>3.216605448403121E-2</c:v>
                </c:pt>
                <c:pt idx="12">
                  <c:v>4.758770473359232E-2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8A-4C8C-A61C-4E7091B6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1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25nodes'!$G$2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25nodes'!$G$3:$G$15</c:f>
              <c:numCache>
                <c:formatCode>General</c:formatCode>
                <c:ptCount val="13"/>
                <c:pt idx="0">
                  <c:v>1</c:v>
                </c:pt>
                <c:pt idx="1">
                  <c:v>1.5012788570577182</c:v>
                </c:pt>
                <c:pt idx="2">
                  <c:v>2.0241944098556948</c:v>
                </c:pt>
                <c:pt idx="3">
                  <c:v>2.4554959645522714</c:v>
                </c:pt>
                <c:pt idx="4">
                  <c:v>2.7594670799211674</c:v>
                </c:pt>
                <c:pt idx="5">
                  <c:v>2.4497924974927487</c:v>
                </c:pt>
                <c:pt idx="6">
                  <c:v>2.3049709222764911</c:v>
                </c:pt>
                <c:pt idx="7">
                  <c:v>2.2576322634479564</c:v>
                </c:pt>
                <c:pt idx="8">
                  <c:v>2.4816519365472782</c:v>
                </c:pt>
                <c:pt idx="9">
                  <c:v>2.4499839590896486</c:v>
                </c:pt>
                <c:pt idx="10">
                  <c:v>2.5053035068116065</c:v>
                </c:pt>
                <c:pt idx="11">
                  <c:v>2.4531509567668803</c:v>
                </c:pt>
                <c:pt idx="12">
                  <c:v>2.5050514019175649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2-4577-BB65-4892BDAD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1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25nodes'!$G$23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25nodes'!$A$24:$A$36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25nodes'!$G$24:$G$36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0.10116278089650871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5.6696203443555943E-2</c:v>
                </c:pt>
                <c:pt idx="11">
                  <c:v>3.216605448403121E-2</c:v>
                </c:pt>
                <c:pt idx="12">
                  <c:v>4.758770473359232E-2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F-46BB-93DE-4272FBA9D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1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N=20000 -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87-4DDD-8071-F3A2D881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1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omp!$G$24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omp!$A$25:$A$37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omp!$G$25:$G$37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0.98151684949885554</c:v>
                </c:pt>
                <c:pt idx="4">
                  <c:v>0.99058542413381123</c:v>
                </c:pt>
                <c:pt idx="5">
                  <c:v>0.9911327641442772</c:v>
                </c:pt>
                <c:pt idx="6">
                  <c:v>0.97660466650263578</c:v>
                </c:pt>
                <c:pt idx="7">
                  <c:v>0.97369409996242007</c:v>
                </c:pt>
                <c:pt idx="8">
                  <c:v>0.97506311316464833</c:v>
                </c:pt>
                <c:pt idx="9">
                  <c:v>0.97269902183661128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D4-4D17-9D67-8E7E98AB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1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437030</xdr:colOff>
      <xdr:row>0</xdr:row>
      <xdr:rowOff>100853</xdr:rowOff>
    </xdr:from>
    <xdr:to>
      <xdr:col>21</xdr:col>
      <xdr:colOff>123266</xdr:colOff>
      <xdr:row>19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0DACC-CD8A-4CA3-B17F-009ADB166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435428</xdr:colOff>
      <xdr:row>21</xdr:row>
      <xdr:rowOff>27215</xdr:rowOff>
    </xdr:from>
    <xdr:to>
      <xdr:col>21</xdr:col>
      <xdr:colOff>114460</xdr:colOff>
      <xdr:row>39</xdr:row>
      <xdr:rowOff>16009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1E159C-6589-432C-A794-339F69950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437030</xdr:colOff>
      <xdr:row>0</xdr:row>
      <xdr:rowOff>100853</xdr:rowOff>
    </xdr:from>
    <xdr:to>
      <xdr:col>21</xdr:col>
      <xdr:colOff>123266</xdr:colOff>
      <xdr:row>19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98A95-8E8B-40B8-A228-8A5A73D06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435428</xdr:colOff>
      <xdr:row>21</xdr:row>
      <xdr:rowOff>27215</xdr:rowOff>
    </xdr:from>
    <xdr:to>
      <xdr:col>21</xdr:col>
      <xdr:colOff>114460</xdr:colOff>
      <xdr:row>39</xdr:row>
      <xdr:rowOff>16009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CA2E1-3251-49B2-BA19-696DEA242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378199</xdr:colOff>
      <xdr:row>0</xdr:row>
      <xdr:rowOff>156882</xdr:rowOff>
    </xdr:from>
    <xdr:to>
      <xdr:col>21</xdr:col>
      <xdr:colOff>92609</xdr:colOff>
      <xdr:row>19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59D22-5F99-4E48-BA27-775EEAB7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21</xdr:row>
      <xdr:rowOff>171450</xdr:rowOff>
    </xdr:from>
    <xdr:to>
      <xdr:col>21</xdr:col>
      <xdr:colOff>57310</xdr:colOff>
      <xdr:row>40</xdr:row>
      <xdr:rowOff>160244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03681-304C-4C6C-A4EE-66405FCF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088E-EB67-4121-9422-E3E30CA3CF93}">
  <dimension ref="A1:H36"/>
  <sheetViews>
    <sheetView tabSelected="1" zoomScale="115" zoomScaleNormal="115" workbookViewId="0">
      <selection activeCell="G18" sqref="G18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4" t="s">
        <v>8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</row>
    <row r="3" spans="1:8" x14ac:dyDescent="0.25">
      <c r="A3" s="5">
        <v>1</v>
      </c>
      <c r="B3" s="5">
        <v>20000</v>
      </c>
      <c r="C3" s="5">
        <v>7.7433350000000001</v>
      </c>
      <c r="D3" s="5">
        <v>4.6781769999999998</v>
      </c>
      <c r="E3" s="2">
        <f>D3+C3</f>
        <v>12.421512</v>
      </c>
      <c r="F3" s="2">
        <v>1</v>
      </c>
      <c r="G3" s="2">
        <f>$D$3/D3</f>
        <v>1</v>
      </c>
      <c r="H3" s="3">
        <f>G3/A3</f>
        <v>1</v>
      </c>
    </row>
    <row r="4" spans="1:8" x14ac:dyDescent="0.25">
      <c r="A4" s="6">
        <v>4</v>
      </c>
      <c r="B4" s="6">
        <v>20000</v>
      </c>
      <c r="C4" s="6">
        <v>7.7136430000000002</v>
      </c>
      <c r="D4" s="6">
        <v>1.89778</v>
      </c>
      <c r="E4" s="2">
        <f t="shared" ref="E4:E15" si="0">D4+C4</f>
        <v>9.6114230000000003</v>
      </c>
      <c r="F4" s="2">
        <v>1</v>
      </c>
      <c r="G4" s="2">
        <f>$D$3/D4</f>
        <v>2.465078670868067</v>
      </c>
      <c r="H4" s="3">
        <f>G4/A4</f>
        <v>0.61626966771701674</v>
      </c>
    </row>
    <row r="5" spans="1:8" x14ac:dyDescent="0.25">
      <c r="A5" s="5">
        <v>8</v>
      </c>
      <c r="B5" s="5">
        <v>20000</v>
      </c>
      <c r="C5" s="5">
        <v>7.7482530000000001</v>
      </c>
      <c r="D5" s="5">
        <v>2.2544029999999999</v>
      </c>
      <c r="E5" s="2">
        <f t="shared" si="0"/>
        <v>10.002656</v>
      </c>
      <c r="F5" s="2">
        <v>1</v>
      </c>
      <c r="G5" s="2">
        <f>$D$3/D5</f>
        <v>2.0751289809319808</v>
      </c>
      <c r="H5" s="3">
        <f>G5/A5</f>
        <v>0.2593911226164976</v>
      </c>
    </row>
    <row r="6" spans="1:8" x14ac:dyDescent="0.25">
      <c r="A6" s="6">
        <v>12</v>
      </c>
      <c r="B6" s="6">
        <v>20000</v>
      </c>
      <c r="C6" s="6">
        <v>8.0048169999999992</v>
      </c>
      <c r="D6" s="6">
        <v>2.0116890000000001</v>
      </c>
      <c r="E6" s="2">
        <f t="shared" si="0"/>
        <v>10.016506</v>
      </c>
      <c r="F6" s="2">
        <v>1</v>
      </c>
      <c r="G6" s="2">
        <f>$D$3/D6</f>
        <v>2.325497132011956</v>
      </c>
      <c r="H6" s="3">
        <f t="shared" ref="H6:H15" si="1">G6/A6</f>
        <v>0.193791427667663</v>
      </c>
    </row>
    <row r="7" spans="1:8" x14ac:dyDescent="0.25">
      <c r="A7" s="5">
        <v>16</v>
      </c>
      <c r="B7" s="5">
        <v>20000</v>
      </c>
      <c r="C7" s="5">
        <v>7.7592020000000002</v>
      </c>
      <c r="D7" s="5">
        <v>1.976858</v>
      </c>
      <c r="E7" s="2">
        <f t="shared" si="0"/>
        <v>9.7360600000000002</v>
      </c>
      <c r="F7" s="2">
        <v>1</v>
      </c>
      <c r="G7" s="2">
        <f>$D$3/D7</f>
        <v>2.3664709351910962</v>
      </c>
      <c r="H7" s="3">
        <f t="shared" si="1"/>
        <v>0.14790443344944351</v>
      </c>
    </row>
    <row r="8" spans="1:8" x14ac:dyDescent="0.25">
      <c r="A8" s="6">
        <v>20</v>
      </c>
      <c r="B8" s="6">
        <v>20000</v>
      </c>
      <c r="C8" s="6">
        <v>7.759671</v>
      </c>
      <c r="D8" s="6">
        <v>1.9801960000000001</v>
      </c>
      <c r="E8" s="2">
        <f t="shared" si="0"/>
        <v>9.7398670000000003</v>
      </c>
      <c r="F8" s="2">
        <v>1</v>
      </c>
      <c r="G8" s="2">
        <f>$D$3/D8</f>
        <v>2.3624817947314303</v>
      </c>
      <c r="H8" s="3">
        <f t="shared" si="1"/>
        <v>0.11812408973657151</v>
      </c>
    </row>
    <row r="9" spans="1:8" x14ac:dyDescent="0.25">
      <c r="A9" s="5">
        <v>24</v>
      </c>
      <c r="B9" s="5">
        <v>20000</v>
      </c>
      <c r="C9" s="5">
        <v>7.7591929999999998</v>
      </c>
      <c r="D9" s="5">
        <v>1.944755</v>
      </c>
      <c r="E9" s="2">
        <f t="shared" si="0"/>
        <v>9.7039480000000005</v>
      </c>
      <c r="F9" s="2">
        <v>1</v>
      </c>
      <c r="G9" s="2">
        <f>$D$3/D9</f>
        <v>2.405535401631568</v>
      </c>
      <c r="H9" s="3">
        <f t="shared" si="1"/>
        <v>0.10023064173464867</v>
      </c>
    </row>
    <row r="10" spans="1:8" x14ac:dyDescent="0.25">
      <c r="A10" s="6">
        <v>28</v>
      </c>
      <c r="B10" s="6">
        <v>20000</v>
      </c>
      <c r="C10" s="6">
        <v>7.7709390000000003</v>
      </c>
      <c r="D10" s="6">
        <v>1.8980410000000001</v>
      </c>
      <c r="E10" s="2">
        <f t="shared" si="0"/>
        <v>9.6689800000000012</v>
      </c>
      <c r="F10" s="2">
        <v>1</v>
      </c>
      <c r="G10" s="2">
        <f>$D$3/D10</f>
        <v>2.4647396974037967</v>
      </c>
      <c r="H10" s="3">
        <f t="shared" si="1"/>
        <v>8.8026417764421314E-2</v>
      </c>
    </row>
    <row r="11" spans="1:8" x14ac:dyDescent="0.25">
      <c r="A11" s="5">
        <v>32</v>
      </c>
      <c r="B11" s="5">
        <v>20000</v>
      </c>
      <c r="C11" s="5">
        <v>7.7518159999999998</v>
      </c>
      <c r="D11" s="5">
        <v>1.8708320000000001</v>
      </c>
      <c r="E11" s="2">
        <f t="shared" si="0"/>
        <v>9.6226479999999999</v>
      </c>
      <c r="F11" s="2">
        <v>1</v>
      </c>
      <c r="G11" s="2">
        <f>$D$3/D11</f>
        <v>2.5005863701283704</v>
      </c>
      <c r="H11" s="3">
        <f t="shared" si="1"/>
        <v>7.8143324066511574E-2</v>
      </c>
    </row>
    <row r="12" spans="1:8" x14ac:dyDescent="0.25">
      <c r="A12" s="6">
        <v>36</v>
      </c>
      <c r="B12" s="6">
        <v>20000</v>
      </c>
      <c r="C12" s="6">
        <v>7.7976859999999997</v>
      </c>
      <c r="D12" s="6">
        <v>1.966869</v>
      </c>
      <c r="E12" s="2">
        <f t="shared" si="0"/>
        <v>9.7645549999999997</v>
      </c>
      <c r="F12" s="2">
        <v>1</v>
      </c>
      <c r="G12" s="2">
        <f>$D$3/D12</f>
        <v>2.3784893655856085</v>
      </c>
      <c r="H12" s="3">
        <f t="shared" si="1"/>
        <v>6.6069149044044678E-2</v>
      </c>
    </row>
    <row r="13" spans="1:8" x14ac:dyDescent="0.25">
      <c r="A13" s="5">
        <v>40</v>
      </c>
      <c r="B13" s="5">
        <v>20000</v>
      </c>
      <c r="C13" s="5">
        <v>7.9058489999999999</v>
      </c>
      <c r="D13" s="5">
        <v>2.1142629999999998</v>
      </c>
      <c r="E13" s="2">
        <f t="shared" si="0"/>
        <v>10.020111999999999</v>
      </c>
      <c r="F13" s="2">
        <v>1</v>
      </c>
      <c r="G13" s="2">
        <f>$D$3/D13</f>
        <v>2.2126750550901191</v>
      </c>
      <c r="H13" s="3">
        <f t="shared" si="1"/>
        <v>5.531687637725298E-2</v>
      </c>
    </row>
    <row r="14" spans="1:8" x14ac:dyDescent="0.25">
      <c r="A14" s="6">
        <v>44</v>
      </c>
      <c r="B14" s="6">
        <v>20000</v>
      </c>
      <c r="C14" s="6">
        <v>8.1640910000000009</v>
      </c>
      <c r="D14" s="6">
        <v>2.1621069999999998</v>
      </c>
      <c r="E14" s="2">
        <f t="shared" si="0"/>
        <v>10.326198000000002</v>
      </c>
      <c r="F14" s="2">
        <v>1</v>
      </c>
      <c r="G14" s="2">
        <f>$D$3/D14</f>
        <v>2.1637120642040379</v>
      </c>
      <c r="H14" s="3">
        <f t="shared" si="1"/>
        <v>4.9175274186455405E-2</v>
      </c>
    </row>
    <row r="15" spans="1:8" x14ac:dyDescent="0.25">
      <c r="A15" s="5">
        <v>48</v>
      </c>
      <c r="B15" s="5">
        <v>20000</v>
      </c>
      <c r="C15" s="5">
        <v>8.4514239999999994</v>
      </c>
      <c r="D15" s="5">
        <v>2.1408520000000002</v>
      </c>
      <c r="E15" s="2">
        <f t="shared" si="0"/>
        <v>10.592276</v>
      </c>
      <c r="F15" s="2">
        <v>1</v>
      </c>
      <c r="G15" s="2">
        <f>$D$3/D15</f>
        <v>2.1851940255561804</v>
      </c>
      <c r="H15" s="3">
        <f t="shared" si="1"/>
        <v>4.5524875532420427E-2</v>
      </c>
    </row>
    <row r="22" spans="1:8" x14ac:dyDescent="0.25">
      <c r="A22" s="4" t="s">
        <v>9</v>
      </c>
      <c r="B22" s="4"/>
      <c r="C22" s="4"/>
      <c r="D22" s="4"/>
      <c r="E22" s="4"/>
      <c r="F22" s="4"/>
      <c r="G22" s="4"/>
      <c r="H22" s="4"/>
    </row>
    <row r="23" spans="1:8" x14ac:dyDescent="0.25">
      <c r="A23" s="1" t="s">
        <v>0</v>
      </c>
      <c r="B23" s="1" t="s">
        <v>1</v>
      </c>
      <c r="C23" s="1" t="s">
        <v>5</v>
      </c>
      <c r="D23" s="1" t="s">
        <v>6</v>
      </c>
      <c r="E23" s="1" t="s">
        <v>7</v>
      </c>
      <c r="F23" s="1" t="s">
        <v>2</v>
      </c>
      <c r="G23" s="1" t="s">
        <v>3</v>
      </c>
      <c r="H23" s="1" t="s">
        <v>4</v>
      </c>
    </row>
    <row r="24" spans="1:8" x14ac:dyDescent="0.25">
      <c r="A24" s="5">
        <v>1</v>
      </c>
      <c r="B24" s="5">
        <v>2000</v>
      </c>
      <c r="C24" s="5">
        <v>7.7853000000000006E-2</v>
      </c>
      <c r="D24" s="5">
        <v>4.8007000000000001E-2</v>
      </c>
      <c r="E24" s="3">
        <f>D24+C24</f>
        <v>0.12586</v>
      </c>
      <c r="F24" s="5">
        <v>1</v>
      </c>
      <c r="G24" s="3">
        <f>$D$24/D24</f>
        <v>1</v>
      </c>
      <c r="H24" s="3">
        <f>G24/A24</f>
        <v>1</v>
      </c>
    </row>
    <row r="25" spans="1:8" x14ac:dyDescent="0.25">
      <c r="A25" s="6">
        <v>4</v>
      </c>
      <c r="B25" s="6">
        <v>4000</v>
      </c>
      <c r="C25" s="6">
        <v>0.31034</v>
      </c>
      <c r="D25" s="6">
        <v>8.0274999999999999E-2</v>
      </c>
      <c r="E25" s="3">
        <f t="shared" ref="E25:E36" si="2">D25+C25</f>
        <v>0.39061499999999999</v>
      </c>
      <c r="F25" s="3">
        <v>2</v>
      </c>
      <c r="G25" s="3">
        <f>$D$24/D25</f>
        <v>0.59803176580504513</v>
      </c>
      <c r="H25" s="3">
        <f>G25/A25</f>
        <v>0.14950794145126128</v>
      </c>
    </row>
    <row r="26" spans="1:8" x14ac:dyDescent="0.25">
      <c r="A26" s="5">
        <v>8</v>
      </c>
      <c r="B26" s="5">
        <v>5657</v>
      </c>
      <c r="C26" s="5">
        <v>0.61943599999999999</v>
      </c>
      <c r="D26" s="5">
        <v>0.18398100000000001</v>
      </c>
      <c r="E26" s="3">
        <f t="shared" si="2"/>
        <v>0.80341700000000005</v>
      </c>
      <c r="F26" s="5">
        <v>4</v>
      </c>
      <c r="G26" s="3">
        <f>$D$24/D26</f>
        <v>0.26093455302449708</v>
      </c>
      <c r="H26" s="3">
        <f t="shared" ref="H26:H36" si="3">G26/A26</f>
        <v>3.2616819128062136E-2</v>
      </c>
    </row>
    <row r="27" spans="1:8" x14ac:dyDescent="0.25">
      <c r="A27" s="6">
        <v>12</v>
      </c>
      <c r="B27" s="6">
        <v>6928</v>
      </c>
      <c r="C27" s="6">
        <v>0.93013900000000005</v>
      </c>
      <c r="D27" s="6">
        <v>0.24859600000000001</v>
      </c>
      <c r="E27" s="3">
        <f t="shared" si="2"/>
        <v>1.1787350000000001</v>
      </c>
      <c r="F27" s="3">
        <v>6</v>
      </c>
      <c r="G27" s="3">
        <f>$D$24/D27</f>
        <v>0.19311251991182479</v>
      </c>
      <c r="H27" s="3">
        <f t="shared" si="3"/>
        <v>1.6092709992652065E-2</v>
      </c>
    </row>
    <row r="28" spans="1:8" x14ac:dyDescent="0.25">
      <c r="A28" s="5">
        <v>16</v>
      </c>
      <c r="B28" s="5">
        <v>8000</v>
      </c>
      <c r="C28" s="5">
        <v>1.241379</v>
      </c>
      <c r="D28" s="5">
        <v>0.32297399999999998</v>
      </c>
      <c r="E28" s="3">
        <f t="shared" si="2"/>
        <v>1.5643530000000001</v>
      </c>
      <c r="F28" s="5">
        <v>8</v>
      </c>
      <c r="G28" s="3">
        <f t="shared" ref="G28:G36" si="4">$D$24/D28</f>
        <v>0.14864044783790648</v>
      </c>
      <c r="H28" s="3">
        <f t="shared" si="3"/>
        <v>9.2900279898691547E-3</v>
      </c>
    </row>
    <row r="29" spans="1:8" x14ac:dyDescent="0.25">
      <c r="A29" s="6">
        <v>20</v>
      </c>
      <c r="B29" s="6">
        <v>8944</v>
      </c>
      <c r="C29" s="6">
        <v>1.5494619999999999</v>
      </c>
      <c r="D29" s="6">
        <v>0.39886100000000002</v>
      </c>
      <c r="E29" s="3">
        <f t="shared" si="2"/>
        <v>1.9483229999999998</v>
      </c>
      <c r="F29" s="3">
        <v>10</v>
      </c>
      <c r="G29" s="3">
        <f>$D$24/D29</f>
        <v>0.12036022574280263</v>
      </c>
      <c r="H29" s="3">
        <f t="shared" si="3"/>
        <v>6.0180112871401313E-3</v>
      </c>
    </row>
    <row r="30" spans="1:8" x14ac:dyDescent="0.25">
      <c r="A30" s="5">
        <v>24</v>
      </c>
      <c r="B30" s="5">
        <v>9798</v>
      </c>
      <c r="C30" s="5">
        <v>1.860447</v>
      </c>
      <c r="D30" s="5">
        <v>0.47455199999999997</v>
      </c>
      <c r="E30" s="3">
        <f t="shared" si="2"/>
        <v>2.3349989999999998</v>
      </c>
      <c r="F30" s="5">
        <v>12</v>
      </c>
      <c r="G30" s="3">
        <f t="shared" si="4"/>
        <v>0.10116278089650871</v>
      </c>
      <c r="H30" s="3">
        <f t="shared" si="3"/>
        <v>4.2151158706878631E-3</v>
      </c>
    </row>
    <row r="31" spans="1:8" x14ac:dyDescent="0.25">
      <c r="A31" s="6">
        <v>28</v>
      </c>
      <c r="B31" s="6">
        <v>10583</v>
      </c>
      <c r="C31" s="6">
        <v>2.1686359999999998</v>
      </c>
      <c r="D31" s="6">
        <v>0.54173899999999997</v>
      </c>
      <c r="E31" s="3">
        <f t="shared" si="2"/>
        <v>2.710375</v>
      </c>
      <c r="F31" s="3">
        <v>14</v>
      </c>
      <c r="G31" s="3">
        <f t="shared" si="4"/>
        <v>8.8616473984704819E-2</v>
      </c>
      <c r="H31" s="3">
        <f t="shared" si="3"/>
        <v>3.164874070882315E-3</v>
      </c>
    </row>
    <row r="32" spans="1:8" x14ac:dyDescent="0.25">
      <c r="A32" s="5">
        <v>32</v>
      </c>
      <c r="B32" s="5">
        <v>11314</v>
      </c>
      <c r="C32" s="5">
        <v>2.4806439999999998</v>
      </c>
      <c r="D32" s="5">
        <v>0.61991200000000002</v>
      </c>
      <c r="E32" s="3">
        <f t="shared" si="2"/>
        <v>3.1005560000000001</v>
      </c>
      <c r="F32" s="5">
        <v>16</v>
      </c>
      <c r="G32" s="3">
        <f>$D$24/D32</f>
        <v>7.7441636877492295E-2</v>
      </c>
      <c r="H32" s="3">
        <f t="shared" si="3"/>
        <v>2.4200511524216342E-3</v>
      </c>
    </row>
    <row r="33" spans="1:8" x14ac:dyDescent="0.25">
      <c r="A33" s="6">
        <v>36</v>
      </c>
      <c r="B33" s="6">
        <v>12000</v>
      </c>
      <c r="C33" s="6">
        <v>2.793498</v>
      </c>
      <c r="D33" s="6">
        <v>0.72763999999999995</v>
      </c>
      <c r="E33" s="3">
        <f t="shared" si="2"/>
        <v>3.5211380000000001</v>
      </c>
      <c r="F33" s="3">
        <v>18</v>
      </c>
      <c r="G33" s="3">
        <f t="shared" si="4"/>
        <v>6.5976306964982689E-2</v>
      </c>
      <c r="H33" s="3">
        <f t="shared" si="3"/>
        <v>1.8326751934717414E-3</v>
      </c>
    </row>
    <row r="34" spans="1:8" x14ac:dyDescent="0.25">
      <c r="A34" s="5">
        <v>40</v>
      </c>
      <c r="B34" s="5">
        <v>12649</v>
      </c>
      <c r="C34" s="5">
        <v>3.1280239999999999</v>
      </c>
      <c r="D34" s="5">
        <v>0.84674099999999997</v>
      </c>
      <c r="E34" s="3">
        <f t="shared" si="2"/>
        <v>3.9747649999999997</v>
      </c>
      <c r="F34" s="5">
        <v>20</v>
      </c>
      <c r="G34" s="3">
        <f t="shared" si="4"/>
        <v>5.6696203443555943E-2</v>
      </c>
      <c r="H34" s="3">
        <f t="shared" si="3"/>
        <v>1.4174050860888987E-3</v>
      </c>
    </row>
    <row r="35" spans="1:8" x14ac:dyDescent="0.25">
      <c r="A35" s="6">
        <v>44</v>
      </c>
      <c r="B35" s="6">
        <v>13266</v>
      </c>
      <c r="C35" s="6">
        <v>3.4824459999999999</v>
      </c>
      <c r="D35" s="6">
        <v>1.4924740000000001</v>
      </c>
      <c r="E35" s="3">
        <f t="shared" si="2"/>
        <v>4.97492</v>
      </c>
      <c r="F35" s="3">
        <v>22</v>
      </c>
      <c r="G35" s="3">
        <f t="shared" si="4"/>
        <v>3.216605448403121E-2</v>
      </c>
      <c r="H35" s="3">
        <f t="shared" si="3"/>
        <v>7.3104669281889119E-4</v>
      </c>
    </row>
    <row r="36" spans="1:8" x14ac:dyDescent="0.25">
      <c r="A36" s="5">
        <v>48</v>
      </c>
      <c r="B36" s="5">
        <v>13856</v>
      </c>
      <c r="C36" s="5">
        <v>3.857148</v>
      </c>
      <c r="D36" s="5">
        <v>1.0088109999999999</v>
      </c>
      <c r="E36" s="3">
        <f t="shared" si="2"/>
        <v>4.8659590000000001</v>
      </c>
      <c r="F36" s="5">
        <v>24</v>
      </c>
      <c r="G36" s="3">
        <f t="shared" si="4"/>
        <v>4.758770473359232E-2</v>
      </c>
      <c r="H36" s="3">
        <f t="shared" si="3"/>
        <v>9.9141051528317341E-4</v>
      </c>
    </row>
  </sheetData>
  <mergeCells count="2">
    <mergeCell ref="A1:H1"/>
    <mergeCell ref="A22:H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CC7D-E74D-42F9-B22B-A0557A026096}">
  <dimension ref="A1:H36"/>
  <sheetViews>
    <sheetView zoomScale="115" zoomScaleNormal="115" workbookViewId="0">
      <selection activeCell="C17" sqref="C17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4" t="s">
        <v>8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</row>
    <row r="3" spans="1:8" x14ac:dyDescent="0.25">
      <c r="A3" s="2">
        <v>1</v>
      </c>
      <c r="B3" s="2">
        <v>20000</v>
      </c>
      <c r="C3" s="2">
        <v>7.8233050000000004</v>
      </c>
      <c r="D3" s="2">
        <v>5.0783880000000003</v>
      </c>
      <c r="E3" s="2">
        <f>D3+C3</f>
        <v>12.901693000000002</v>
      </c>
      <c r="F3" s="2">
        <v>1</v>
      </c>
      <c r="G3" s="2">
        <f>$D$3/D3</f>
        <v>1</v>
      </c>
      <c r="H3" s="3">
        <f>G3/A3</f>
        <v>1</v>
      </c>
    </row>
    <row r="4" spans="1:8" x14ac:dyDescent="0.25">
      <c r="A4" s="2">
        <v>2</v>
      </c>
      <c r="B4" s="2">
        <v>20000</v>
      </c>
      <c r="C4" s="2">
        <v>7.8280799999999999</v>
      </c>
      <c r="D4" s="2">
        <v>3.382708</v>
      </c>
      <c r="E4" s="2">
        <f t="shared" ref="E4:E15" si="0">D4+C4</f>
        <v>11.210788000000001</v>
      </c>
      <c r="F4" s="2">
        <v>2</v>
      </c>
      <c r="G4" s="2">
        <f>$D$3/D4</f>
        <v>1.5012788570577182</v>
      </c>
      <c r="H4" s="3">
        <f>G4/A4</f>
        <v>0.75063942852885912</v>
      </c>
    </row>
    <row r="5" spans="1:8" x14ac:dyDescent="0.25">
      <c r="A5" s="2">
        <v>3</v>
      </c>
      <c r="B5" s="2">
        <v>20000</v>
      </c>
      <c r="C5" s="2">
        <v>7.8247689999999999</v>
      </c>
      <c r="D5" s="2">
        <v>2.5088439999999999</v>
      </c>
      <c r="E5" s="2">
        <f t="shared" si="0"/>
        <v>10.333613</v>
      </c>
      <c r="F5" s="2">
        <v>3</v>
      </c>
      <c r="G5" s="2">
        <f>$D$3/D5</f>
        <v>2.0241944098556948</v>
      </c>
      <c r="H5" s="3">
        <f>G5/A5</f>
        <v>0.67473146995189826</v>
      </c>
    </row>
    <row r="6" spans="1:8" x14ac:dyDescent="0.25">
      <c r="A6" s="2">
        <v>4</v>
      </c>
      <c r="B6" s="2">
        <v>20000</v>
      </c>
      <c r="C6" s="2">
        <v>7.8250570000000002</v>
      </c>
      <c r="D6" s="2">
        <v>2.0681720000000001</v>
      </c>
      <c r="E6" s="2">
        <f t="shared" si="0"/>
        <v>9.8932289999999998</v>
      </c>
      <c r="F6" s="2">
        <v>4</v>
      </c>
      <c r="G6" s="2">
        <f>$D$3/D6</f>
        <v>2.4554959645522714</v>
      </c>
      <c r="H6" s="3">
        <f t="shared" ref="H6:H15" si="1">G6/A6</f>
        <v>0.61387399113806784</v>
      </c>
    </row>
    <row r="7" spans="1:8" x14ac:dyDescent="0.25">
      <c r="A7" s="2">
        <v>5</v>
      </c>
      <c r="B7" s="2">
        <v>20000</v>
      </c>
      <c r="C7" s="2">
        <v>7.855334</v>
      </c>
      <c r="D7" s="2">
        <v>1.8403510000000001</v>
      </c>
      <c r="E7" s="2">
        <f t="shared" si="0"/>
        <v>9.695685000000001</v>
      </c>
      <c r="F7" s="2">
        <v>5</v>
      </c>
      <c r="G7" s="2">
        <f>$D$3/D7</f>
        <v>2.7594670799211674</v>
      </c>
      <c r="H7" s="3">
        <f t="shared" si="1"/>
        <v>0.55189341598423347</v>
      </c>
    </row>
    <row r="8" spans="1:8" x14ac:dyDescent="0.25">
      <c r="A8" s="2">
        <v>6</v>
      </c>
      <c r="B8" s="2">
        <v>20000</v>
      </c>
      <c r="C8" s="2">
        <v>7.8204099999999999</v>
      </c>
      <c r="D8" s="2">
        <v>2.0729869999999999</v>
      </c>
      <c r="E8" s="2">
        <f t="shared" si="0"/>
        <v>9.8933970000000002</v>
      </c>
      <c r="F8" s="2">
        <v>6</v>
      </c>
      <c r="G8" s="2">
        <f>$D$3/D8</f>
        <v>2.4497924974927487</v>
      </c>
      <c r="H8" s="3">
        <f t="shared" si="1"/>
        <v>0.40829874958212481</v>
      </c>
    </row>
    <row r="9" spans="1:8" x14ac:dyDescent="0.25">
      <c r="A9" s="2">
        <v>7</v>
      </c>
      <c r="B9" s="2">
        <v>20000</v>
      </c>
      <c r="C9" s="2">
        <v>7.8239280000000004</v>
      </c>
      <c r="D9" s="2">
        <v>2.203233</v>
      </c>
      <c r="E9" s="2">
        <f t="shared" si="0"/>
        <v>10.027161</v>
      </c>
      <c r="F9" s="2">
        <v>7</v>
      </c>
      <c r="G9" s="2">
        <f>$D$3/D9</f>
        <v>2.3049709222764911</v>
      </c>
      <c r="H9" s="3">
        <f t="shared" si="1"/>
        <v>0.329281560325213</v>
      </c>
    </row>
    <row r="10" spans="1:8" x14ac:dyDescent="0.25">
      <c r="A10" s="2">
        <v>8</v>
      </c>
      <c r="B10" s="2">
        <v>20000</v>
      </c>
      <c r="C10" s="2">
        <v>7.8255949999999999</v>
      </c>
      <c r="D10" s="2">
        <v>2.249431</v>
      </c>
      <c r="E10" s="2">
        <f t="shared" si="0"/>
        <v>10.075025999999999</v>
      </c>
      <c r="F10" s="2">
        <v>8</v>
      </c>
      <c r="G10" s="2">
        <f>$D$3/D10</f>
        <v>2.2576322634479564</v>
      </c>
      <c r="H10" s="3">
        <f t="shared" si="1"/>
        <v>0.28220403293099455</v>
      </c>
    </row>
    <row r="11" spans="1:8" x14ac:dyDescent="0.25">
      <c r="A11" s="2">
        <v>9</v>
      </c>
      <c r="B11" s="2">
        <v>20000</v>
      </c>
      <c r="C11" s="2">
        <v>7.8246260000000003</v>
      </c>
      <c r="D11" s="2">
        <v>2.0463740000000001</v>
      </c>
      <c r="E11" s="2">
        <f t="shared" si="0"/>
        <v>9.8710000000000004</v>
      </c>
      <c r="F11" s="2">
        <v>9</v>
      </c>
      <c r="G11" s="2">
        <f>$D$3/D11</f>
        <v>2.4816519365472782</v>
      </c>
      <c r="H11" s="3">
        <f t="shared" si="1"/>
        <v>0.2757391040608087</v>
      </c>
    </row>
    <row r="12" spans="1:8" x14ac:dyDescent="0.25">
      <c r="A12" s="2">
        <v>10</v>
      </c>
      <c r="B12" s="2">
        <v>20000</v>
      </c>
      <c r="C12" s="2">
        <v>7.8217080000000001</v>
      </c>
      <c r="D12" s="2">
        <v>2.0728249999999999</v>
      </c>
      <c r="E12" s="2">
        <f t="shared" si="0"/>
        <v>9.8945329999999991</v>
      </c>
      <c r="F12" s="2">
        <v>10</v>
      </c>
      <c r="G12" s="2">
        <f>$D$3/D12</f>
        <v>2.4499839590896486</v>
      </c>
      <c r="H12" s="3">
        <f t="shared" si="1"/>
        <v>0.24499839590896486</v>
      </c>
    </row>
    <row r="13" spans="1:8" x14ac:dyDescent="0.25">
      <c r="A13" s="2">
        <v>15</v>
      </c>
      <c r="B13" s="2">
        <v>20000</v>
      </c>
      <c r="C13" s="2">
        <v>7.8151109999999999</v>
      </c>
      <c r="D13" s="2">
        <v>2.0270549999999998</v>
      </c>
      <c r="E13" s="2">
        <f t="shared" si="0"/>
        <v>9.8421659999999989</v>
      </c>
      <c r="F13" s="2">
        <v>15</v>
      </c>
      <c r="G13" s="2">
        <f>$D$3/D13</f>
        <v>2.5053035068116065</v>
      </c>
      <c r="H13" s="3">
        <f t="shared" si="1"/>
        <v>0.16702023378744044</v>
      </c>
    </row>
    <row r="14" spans="1:8" x14ac:dyDescent="0.25">
      <c r="A14" s="2">
        <v>20</v>
      </c>
      <c r="B14" s="2">
        <v>20000</v>
      </c>
      <c r="C14" s="2">
        <v>7.8265219999999998</v>
      </c>
      <c r="D14" s="2">
        <v>2.0701489999999998</v>
      </c>
      <c r="E14" s="2">
        <f t="shared" si="0"/>
        <v>9.8966709999999996</v>
      </c>
      <c r="F14" s="2">
        <v>20</v>
      </c>
      <c r="G14" s="2">
        <f>$D$3/D14</f>
        <v>2.4531509567668803</v>
      </c>
      <c r="H14" s="3">
        <f t="shared" si="1"/>
        <v>0.12265754783834401</v>
      </c>
    </row>
    <row r="15" spans="1:8" x14ac:dyDescent="0.25">
      <c r="A15" s="2">
        <v>25</v>
      </c>
      <c r="B15" s="2">
        <v>20000</v>
      </c>
      <c r="C15" s="2">
        <v>7.8210160000000002</v>
      </c>
      <c r="D15" s="2">
        <v>2.0272589999999999</v>
      </c>
      <c r="E15" s="2">
        <f t="shared" si="0"/>
        <v>9.848275000000001</v>
      </c>
      <c r="F15" s="2">
        <v>25</v>
      </c>
      <c r="G15" s="2">
        <f>$D$3/D15</f>
        <v>2.5050514019175649</v>
      </c>
      <c r="H15" s="3">
        <f t="shared" si="1"/>
        <v>0.1002020560767026</v>
      </c>
    </row>
    <row r="22" spans="1:8" x14ac:dyDescent="0.25">
      <c r="A22" s="4" t="s">
        <v>9</v>
      </c>
      <c r="B22" s="4"/>
      <c r="C22" s="4"/>
      <c r="D22" s="4"/>
      <c r="E22" s="4"/>
      <c r="F22" s="4"/>
      <c r="G22" s="4"/>
      <c r="H22" s="4"/>
    </row>
    <row r="23" spans="1:8" x14ac:dyDescent="0.25">
      <c r="A23" s="1" t="s">
        <v>0</v>
      </c>
      <c r="B23" s="1" t="s">
        <v>1</v>
      </c>
      <c r="C23" s="1" t="s">
        <v>5</v>
      </c>
      <c r="D23" s="1" t="s">
        <v>6</v>
      </c>
      <c r="E23" s="1" t="s">
        <v>7</v>
      </c>
      <c r="F23" s="1" t="s">
        <v>2</v>
      </c>
      <c r="G23" s="1" t="s">
        <v>3</v>
      </c>
      <c r="H23" s="1" t="s">
        <v>4</v>
      </c>
    </row>
    <row r="24" spans="1:8" x14ac:dyDescent="0.25">
      <c r="A24" s="5">
        <v>1</v>
      </c>
      <c r="B24" s="5">
        <v>2000</v>
      </c>
      <c r="C24" s="5">
        <v>7.7853000000000006E-2</v>
      </c>
      <c r="D24" s="5">
        <v>4.8007000000000001E-2</v>
      </c>
      <c r="E24" s="3">
        <f>D24+C24</f>
        <v>0.12586</v>
      </c>
      <c r="F24" s="5">
        <v>1</v>
      </c>
      <c r="G24" s="3">
        <f>$D$24/D24</f>
        <v>1</v>
      </c>
      <c r="H24" s="3">
        <f>G24/A24</f>
        <v>1</v>
      </c>
    </row>
    <row r="25" spans="1:8" x14ac:dyDescent="0.25">
      <c r="A25" s="6">
        <v>4</v>
      </c>
      <c r="B25" s="6">
        <v>4000</v>
      </c>
      <c r="C25" s="6">
        <v>0.31034</v>
      </c>
      <c r="D25" s="6">
        <v>8.0274999999999999E-2</v>
      </c>
      <c r="E25" s="3">
        <f t="shared" ref="E25:E36" si="2">D25+C25</f>
        <v>0.39061499999999999</v>
      </c>
      <c r="F25" s="3">
        <v>2</v>
      </c>
      <c r="G25" s="3">
        <f>$D$24/D25</f>
        <v>0.59803176580504513</v>
      </c>
      <c r="H25" s="3">
        <f>G25/A25</f>
        <v>0.14950794145126128</v>
      </c>
    </row>
    <row r="26" spans="1:8" x14ac:dyDescent="0.25">
      <c r="A26" s="5">
        <v>8</v>
      </c>
      <c r="B26" s="5">
        <v>5657</v>
      </c>
      <c r="C26" s="5">
        <v>0.61943599999999999</v>
      </c>
      <c r="D26" s="5">
        <v>0.18398100000000001</v>
      </c>
      <c r="E26" s="3">
        <f t="shared" si="2"/>
        <v>0.80341700000000005</v>
      </c>
      <c r="F26" s="5">
        <v>4</v>
      </c>
      <c r="G26" s="3">
        <f>$D$24/D26</f>
        <v>0.26093455302449708</v>
      </c>
      <c r="H26" s="3">
        <f t="shared" ref="H26:H36" si="3">G26/A26</f>
        <v>3.2616819128062136E-2</v>
      </c>
    </row>
    <row r="27" spans="1:8" x14ac:dyDescent="0.25">
      <c r="A27" s="6">
        <v>12</v>
      </c>
      <c r="B27" s="6">
        <v>6928</v>
      </c>
      <c r="C27" s="6">
        <v>0.93013900000000005</v>
      </c>
      <c r="D27" s="6">
        <v>0.24859600000000001</v>
      </c>
      <c r="E27" s="3">
        <f t="shared" si="2"/>
        <v>1.1787350000000001</v>
      </c>
      <c r="F27" s="3">
        <v>6</v>
      </c>
      <c r="G27" s="3">
        <f>$D$24/D27</f>
        <v>0.19311251991182479</v>
      </c>
      <c r="H27" s="3">
        <f t="shared" si="3"/>
        <v>1.6092709992652065E-2</v>
      </c>
    </row>
    <row r="28" spans="1:8" x14ac:dyDescent="0.25">
      <c r="A28" s="5">
        <v>16</v>
      </c>
      <c r="B28" s="5">
        <v>8000</v>
      </c>
      <c r="C28" s="5">
        <v>1.241379</v>
      </c>
      <c r="D28" s="5">
        <v>0.32297399999999998</v>
      </c>
      <c r="E28" s="3">
        <f t="shared" si="2"/>
        <v>1.5643530000000001</v>
      </c>
      <c r="F28" s="5">
        <v>8</v>
      </c>
      <c r="G28" s="3">
        <f t="shared" ref="G28:G36" si="4">$D$24/D28</f>
        <v>0.14864044783790648</v>
      </c>
      <c r="H28" s="3">
        <f t="shared" si="3"/>
        <v>9.2900279898691547E-3</v>
      </c>
    </row>
    <row r="29" spans="1:8" x14ac:dyDescent="0.25">
      <c r="A29" s="6">
        <v>20</v>
      </c>
      <c r="B29" s="6">
        <v>8944</v>
      </c>
      <c r="C29" s="6">
        <v>1.5494619999999999</v>
      </c>
      <c r="D29" s="6">
        <v>0.39886100000000002</v>
      </c>
      <c r="E29" s="3">
        <f t="shared" si="2"/>
        <v>1.9483229999999998</v>
      </c>
      <c r="F29" s="3">
        <v>10</v>
      </c>
      <c r="G29" s="3">
        <f>$D$24/D29</f>
        <v>0.12036022574280263</v>
      </c>
      <c r="H29" s="3">
        <f t="shared" si="3"/>
        <v>6.0180112871401313E-3</v>
      </c>
    </row>
    <row r="30" spans="1:8" x14ac:dyDescent="0.25">
      <c r="A30" s="5">
        <v>24</v>
      </c>
      <c r="B30" s="5">
        <v>9798</v>
      </c>
      <c r="C30" s="5">
        <v>1.860447</v>
      </c>
      <c r="D30" s="5">
        <v>0.47455199999999997</v>
      </c>
      <c r="E30" s="3">
        <f t="shared" si="2"/>
        <v>2.3349989999999998</v>
      </c>
      <c r="F30" s="5">
        <v>12</v>
      </c>
      <c r="G30" s="3">
        <f t="shared" si="4"/>
        <v>0.10116278089650871</v>
      </c>
      <c r="H30" s="3">
        <f t="shared" si="3"/>
        <v>4.2151158706878631E-3</v>
      </c>
    </row>
    <row r="31" spans="1:8" x14ac:dyDescent="0.25">
      <c r="A31" s="6">
        <v>28</v>
      </c>
      <c r="B31" s="6">
        <v>10583</v>
      </c>
      <c r="C31" s="6">
        <v>2.1686359999999998</v>
      </c>
      <c r="D31" s="6">
        <v>0.54173899999999997</v>
      </c>
      <c r="E31" s="3">
        <f t="shared" si="2"/>
        <v>2.710375</v>
      </c>
      <c r="F31" s="3">
        <v>14</v>
      </c>
      <c r="G31" s="3">
        <f t="shared" si="4"/>
        <v>8.8616473984704819E-2</v>
      </c>
      <c r="H31" s="3">
        <f t="shared" si="3"/>
        <v>3.164874070882315E-3</v>
      </c>
    </row>
    <row r="32" spans="1:8" x14ac:dyDescent="0.25">
      <c r="A32" s="5">
        <v>32</v>
      </c>
      <c r="B32" s="5">
        <v>11314</v>
      </c>
      <c r="C32" s="5">
        <v>2.4806439999999998</v>
      </c>
      <c r="D32" s="5">
        <v>0.61991200000000002</v>
      </c>
      <c r="E32" s="3">
        <f t="shared" si="2"/>
        <v>3.1005560000000001</v>
      </c>
      <c r="F32" s="5">
        <v>16</v>
      </c>
      <c r="G32" s="3">
        <f>$D$24/D32</f>
        <v>7.7441636877492295E-2</v>
      </c>
      <c r="H32" s="3">
        <f t="shared" si="3"/>
        <v>2.4200511524216342E-3</v>
      </c>
    </row>
    <row r="33" spans="1:8" x14ac:dyDescent="0.25">
      <c r="A33" s="6">
        <v>36</v>
      </c>
      <c r="B33" s="6">
        <v>12000</v>
      </c>
      <c r="C33" s="6">
        <v>2.793498</v>
      </c>
      <c r="D33" s="6">
        <v>0.72763999999999995</v>
      </c>
      <c r="E33" s="3">
        <f t="shared" si="2"/>
        <v>3.5211380000000001</v>
      </c>
      <c r="F33" s="3">
        <v>18</v>
      </c>
      <c r="G33" s="3">
        <f t="shared" si="4"/>
        <v>6.5976306964982689E-2</v>
      </c>
      <c r="H33" s="3">
        <f t="shared" si="3"/>
        <v>1.8326751934717414E-3</v>
      </c>
    </row>
    <row r="34" spans="1:8" x14ac:dyDescent="0.25">
      <c r="A34" s="5">
        <v>40</v>
      </c>
      <c r="B34" s="5">
        <v>12649</v>
      </c>
      <c r="C34" s="5">
        <v>3.1280239999999999</v>
      </c>
      <c r="D34" s="5">
        <v>0.84674099999999997</v>
      </c>
      <c r="E34" s="3">
        <f t="shared" si="2"/>
        <v>3.9747649999999997</v>
      </c>
      <c r="F34" s="5">
        <v>20</v>
      </c>
      <c r="G34" s="3">
        <f t="shared" si="4"/>
        <v>5.6696203443555943E-2</v>
      </c>
      <c r="H34" s="3">
        <f t="shared" si="3"/>
        <v>1.4174050860888987E-3</v>
      </c>
    </row>
    <row r="35" spans="1:8" x14ac:dyDescent="0.25">
      <c r="A35" s="6">
        <v>44</v>
      </c>
      <c r="B35" s="6">
        <v>13266</v>
      </c>
      <c r="C35" s="6">
        <v>3.4824459999999999</v>
      </c>
      <c r="D35" s="6">
        <v>1.4924740000000001</v>
      </c>
      <c r="E35" s="3">
        <f t="shared" si="2"/>
        <v>4.97492</v>
      </c>
      <c r="F35" s="3">
        <v>22</v>
      </c>
      <c r="G35" s="3">
        <f t="shared" si="4"/>
        <v>3.216605448403121E-2</v>
      </c>
      <c r="H35" s="3">
        <f t="shared" si="3"/>
        <v>7.3104669281889119E-4</v>
      </c>
    </row>
    <row r="36" spans="1:8" x14ac:dyDescent="0.25">
      <c r="A36" s="5">
        <v>48</v>
      </c>
      <c r="B36" s="5">
        <v>13856</v>
      </c>
      <c r="C36" s="5">
        <v>3.857148</v>
      </c>
      <c r="D36" s="5">
        <v>1.0088109999999999</v>
      </c>
      <c r="E36" s="3">
        <f t="shared" si="2"/>
        <v>4.8659590000000001</v>
      </c>
      <c r="F36" s="5">
        <v>24</v>
      </c>
      <c r="G36" s="3">
        <f t="shared" si="4"/>
        <v>4.758770473359232E-2</v>
      </c>
      <c r="H36" s="3">
        <f t="shared" si="3"/>
        <v>9.9141051528317341E-4</v>
      </c>
    </row>
  </sheetData>
  <mergeCells count="2">
    <mergeCell ref="A1:H1"/>
    <mergeCell ref="A22:H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6A5-EB90-4136-8D99-0F3D447C08F2}">
  <dimension ref="A1:H37"/>
  <sheetViews>
    <sheetView zoomScaleNormal="100" workbookViewId="0">
      <selection activeCell="E43" sqref="E43"/>
    </sheetView>
  </sheetViews>
  <sheetFormatPr defaultRowHeight="15" x14ac:dyDescent="0.25"/>
  <sheetData>
    <row r="1" spans="1:8" x14ac:dyDescent="0.25">
      <c r="A1" s="4" t="s">
        <v>10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</row>
    <row r="3" spans="1:8" x14ac:dyDescent="0.25">
      <c r="A3" s="5">
        <v>1</v>
      </c>
      <c r="B3" s="5">
        <v>20000</v>
      </c>
      <c r="C3" s="5">
        <v>4.1449360000000004</v>
      </c>
      <c r="D3" s="5">
        <v>19.979552000000002</v>
      </c>
      <c r="E3" s="2">
        <f>D3+C3</f>
        <v>24.124488000000003</v>
      </c>
      <c r="F3" s="2">
        <v>1</v>
      </c>
      <c r="G3" s="2">
        <f>$D$3/D3</f>
        <v>1</v>
      </c>
      <c r="H3" s="3">
        <f>G3/A3</f>
        <v>1</v>
      </c>
    </row>
    <row r="4" spans="1:8" x14ac:dyDescent="0.25">
      <c r="A4" s="6">
        <v>4</v>
      </c>
      <c r="B4" s="6">
        <v>20000</v>
      </c>
      <c r="C4" s="6">
        <v>4.102913</v>
      </c>
      <c r="D4" s="6">
        <v>5.0083310000000001</v>
      </c>
      <c r="E4" s="2">
        <f t="shared" ref="E4:E15" si="0">D4+C4</f>
        <v>9.1112439999999992</v>
      </c>
      <c r="F4" s="2">
        <v>1</v>
      </c>
      <c r="G4" s="2">
        <f t="shared" ref="G4:G15" si="1">$D$3/D4</f>
        <v>3.9892634891743382</v>
      </c>
      <c r="H4" s="3">
        <f t="shared" ref="H4:H15" si="2">G4/A4</f>
        <v>0.99731587229358454</v>
      </c>
    </row>
    <row r="5" spans="1:8" x14ac:dyDescent="0.25">
      <c r="A5" s="5">
        <v>8</v>
      </c>
      <c r="B5" s="5">
        <v>20000</v>
      </c>
      <c r="C5" s="5">
        <v>4.1146859999999998</v>
      </c>
      <c r="D5" s="5">
        <v>2.5032679999999998</v>
      </c>
      <c r="E5" s="2">
        <f t="shared" si="0"/>
        <v>6.6179539999999992</v>
      </c>
      <c r="F5" s="2">
        <v>1</v>
      </c>
      <c r="G5" s="2">
        <f t="shared" si="1"/>
        <v>7.9813875302204966</v>
      </c>
      <c r="H5" s="3">
        <f t="shared" si="2"/>
        <v>0.99767344127756208</v>
      </c>
    </row>
    <row r="6" spans="1:8" x14ac:dyDescent="0.25">
      <c r="A6" s="6">
        <v>12</v>
      </c>
      <c r="B6" s="6">
        <v>20000</v>
      </c>
      <c r="C6" s="6">
        <v>4.1163150000000002</v>
      </c>
      <c r="D6" s="6">
        <v>1.6694819999999999</v>
      </c>
      <c r="E6" s="2">
        <f t="shared" si="0"/>
        <v>5.7857970000000005</v>
      </c>
      <c r="F6" s="2">
        <v>1</v>
      </c>
      <c r="G6" s="2">
        <f t="shared" si="1"/>
        <v>11.967515672525971</v>
      </c>
      <c r="H6" s="3">
        <f t="shared" si="2"/>
        <v>0.99729297271049766</v>
      </c>
    </row>
    <row r="7" spans="1:8" x14ac:dyDescent="0.25">
      <c r="A7" s="5">
        <v>16</v>
      </c>
      <c r="B7" s="5">
        <v>20000</v>
      </c>
      <c r="C7" s="5">
        <v>4.1054810000000002</v>
      </c>
      <c r="D7" s="5">
        <v>1.252983</v>
      </c>
      <c r="E7" s="2">
        <f t="shared" si="0"/>
        <v>5.3584639999999997</v>
      </c>
      <c r="F7" s="2">
        <v>1</v>
      </c>
      <c r="G7" s="2">
        <f>$D$3/D7</f>
        <v>15.945589046299911</v>
      </c>
      <c r="H7" s="3">
        <f t="shared" si="2"/>
        <v>0.99659931539374447</v>
      </c>
    </row>
    <row r="8" spans="1:8" x14ac:dyDescent="0.25">
      <c r="A8" s="6">
        <v>20</v>
      </c>
      <c r="B8" s="6">
        <v>20000</v>
      </c>
      <c r="C8" s="6">
        <v>4.1019350000000001</v>
      </c>
      <c r="D8" s="6">
        <v>1.003598</v>
      </c>
      <c r="E8" s="2">
        <f t="shared" si="0"/>
        <v>5.1055330000000003</v>
      </c>
      <c r="F8" s="2">
        <v>1</v>
      </c>
      <c r="G8" s="2">
        <f t="shared" si="1"/>
        <v>19.907923291995402</v>
      </c>
      <c r="H8" s="3">
        <f t="shared" si="2"/>
        <v>0.99539616459977009</v>
      </c>
    </row>
    <row r="9" spans="1:8" x14ac:dyDescent="0.25">
      <c r="A9" s="5">
        <v>24</v>
      </c>
      <c r="B9" s="5">
        <v>20000</v>
      </c>
      <c r="C9" s="5">
        <v>4.1029020000000003</v>
      </c>
      <c r="D9" s="5">
        <v>0.83934399999999998</v>
      </c>
      <c r="E9" s="2">
        <f t="shared" si="0"/>
        <v>4.9422459999999999</v>
      </c>
      <c r="F9" s="2">
        <v>1</v>
      </c>
      <c r="G9" s="2">
        <f t="shared" si="1"/>
        <v>23.803770563678302</v>
      </c>
      <c r="H9" s="3">
        <f t="shared" si="2"/>
        <v>0.99182377348659589</v>
      </c>
    </row>
    <row r="10" spans="1:8" x14ac:dyDescent="0.25">
      <c r="A10" s="6">
        <v>28</v>
      </c>
      <c r="B10" s="6">
        <v>20000</v>
      </c>
      <c r="C10" s="6">
        <v>4.0995549999999996</v>
      </c>
      <c r="D10" s="6">
        <v>0.71984300000000001</v>
      </c>
      <c r="E10" s="2">
        <f t="shared" si="0"/>
        <v>4.8193979999999996</v>
      </c>
      <c r="F10" s="2">
        <v>1</v>
      </c>
      <c r="G10" s="2">
        <f t="shared" si="1"/>
        <v>27.755430003486872</v>
      </c>
      <c r="H10" s="3">
        <f t="shared" si="2"/>
        <v>0.99126535726738829</v>
      </c>
    </row>
    <row r="11" spans="1:8" x14ac:dyDescent="0.25">
      <c r="A11" s="5">
        <v>32</v>
      </c>
      <c r="B11" s="5">
        <v>20000</v>
      </c>
      <c r="C11" s="5">
        <v>4.1114259999999998</v>
      </c>
      <c r="D11" s="5">
        <v>0.63048899999999997</v>
      </c>
      <c r="E11" s="2">
        <f t="shared" si="0"/>
        <v>4.7419149999999997</v>
      </c>
      <c r="F11" s="2">
        <v>1</v>
      </c>
      <c r="G11" s="2">
        <f>$D$3/D11</f>
        <v>31.688977920312652</v>
      </c>
      <c r="H11" s="3">
        <f>G11/A11</f>
        <v>0.99028056000977038</v>
      </c>
    </row>
    <row r="12" spans="1:8" x14ac:dyDescent="0.25">
      <c r="A12" s="6">
        <v>36</v>
      </c>
      <c r="B12" s="6">
        <v>20000</v>
      </c>
      <c r="C12" s="6">
        <v>4.127758</v>
      </c>
      <c r="D12" s="6">
        <v>0.56178799999999995</v>
      </c>
      <c r="E12" s="2">
        <f t="shared" si="0"/>
        <v>4.689546</v>
      </c>
      <c r="F12" s="2">
        <v>1</v>
      </c>
      <c r="G12" s="2">
        <f t="shared" si="1"/>
        <v>35.564219954858423</v>
      </c>
      <c r="H12" s="3">
        <f t="shared" si="2"/>
        <v>0.98789499874606734</v>
      </c>
    </row>
    <row r="13" spans="1:8" x14ac:dyDescent="0.25">
      <c r="A13" s="5">
        <v>40</v>
      </c>
      <c r="B13" s="5">
        <v>20000</v>
      </c>
      <c r="C13" s="5">
        <v>4.1234719999999996</v>
      </c>
      <c r="D13" s="5">
        <v>0.50904799999999994</v>
      </c>
      <c r="E13" s="2">
        <f t="shared" si="0"/>
        <v>4.6325199999999995</v>
      </c>
      <c r="F13" s="2">
        <v>1</v>
      </c>
      <c r="G13" s="2">
        <f t="shared" si="1"/>
        <v>39.248856689349537</v>
      </c>
      <c r="H13" s="3">
        <f t="shared" si="2"/>
        <v>0.98122141723373846</v>
      </c>
    </row>
    <row r="14" spans="1:8" x14ac:dyDescent="0.25">
      <c r="A14" s="6">
        <v>44</v>
      </c>
      <c r="B14" s="6">
        <v>20000</v>
      </c>
      <c r="C14" s="6">
        <v>4.1100070000000004</v>
      </c>
      <c r="D14" s="6">
        <v>0.46155000000000002</v>
      </c>
      <c r="E14" s="2">
        <f t="shared" si="0"/>
        <v>4.5715570000000003</v>
      </c>
      <c r="F14" s="2">
        <v>1</v>
      </c>
      <c r="G14" s="2">
        <f t="shared" si="1"/>
        <v>43.287947134654971</v>
      </c>
      <c r="H14" s="3">
        <f t="shared" si="2"/>
        <v>0.98381698033306753</v>
      </c>
    </row>
    <row r="15" spans="1:8" x14ac:dyDescent="0.25">
      <c r="A15" s="5">
        <v>48</v>
      </c>
      <c r="B15" s="5">
        <v>20000</v>
      </c>
      <c r="C15" s="5">
        <v>4.1191149999999999</v>
      </c>
      <c r="D15" s="5">
        <v>0.42558200000000002</v>
      </c>
      <c r="E15" s="2">
        <f t="shared" si="0"/>
        <v>4.5446970000000002</v>
      </c>
      <c r="F15" s="2">
        <v>1</v>
      </c>
      <c r="G15" s="2">
        <f>$D$3/D15</f>
        <v>46.946421606176955</v>
      </c>
      <c r="H15" s="3">
        <f t="shared" si="2"/>
        <v>0.97805045012868652</v>
      </c>
    </row>
    <row r="23" spans="1:8" x14ac:dyDescent="0.25">
      <c r="A23" s="4" t="s">
        <v>11</v>
      </c>
      <c r="B23" s="4"/>
      <c r="C23" s="4"/>
      <c r="D23" s="4"/>
      <c r="E23" s="4"/>
      <c r="F23" s="4"/>
      <c r="G23" s="4"/>
      <c r="H23" s="4"/>
    </row>
    <row r="24" spans="1:8" x14ac:dyDescent="0.25">
      <c r="A24" s="1" t="s">
        <v>0</v>
      </c>
      <c r="B24" s="1" t="s">
        <v>1</v>
      </c>
      <c r="C24" s="1" t="s">
        <v>5</v>
      </c>
      <c r="D24" s="1" t="s">
        <v>6</v>
      </c>
      <c r="E24" s="1" t="s">
        <v>7</v>
      </c>
      <c r="F24" s="1" t="s">
        <v>2</v>
      </c>
      <c r="G24" s="1" t="s">
        <v>3</v>
      </c>
      <c r="H24" s="1" t="s">
        <v>4</v>
      </c>
    </row>
    <row r="25" spans="1:8" x14ac:dyDescent="0.25">
      <c r="A25" s="5">
        <v>1</v>
      </c>
      <c r="B25" s="5">
        <v>2000</v>
      </c>
      <c r="C25" s="5">
        <v>3.9428999999999999E-2</v>
      </c>
      <c r="D25" s="5">
        <v>0.186552</v>
      </c>
      <c r="E25" s="2">
        <f>D25+C25</f>
        <v>0.22598099999999999</v>
      </c>
      <c r="F25" s="2">
        <v>1</v>
      </c>
      <c r="G25" s="2">
        <f>$D$25/D25</f>
        <v>1</v>
      </c>
      <c r="H25" s="3">
        <f>G25/A25</f>
        <v>1</v>
      </c>
    </row>
    <row r="26" spans="1:8" x14ac:dyDescent="0.25">
      <c r="A26" s="6">
        <v>4</v>
      </c>
      <c r="B26" s="6">
        <v>4000</v>
      </c>
      <c r="C26" s="6">
        <v>0.157891</v>
      </c>
      <c r="D26" s="6">
        <v>0.18987799999999999</v>
      </c>
      <c r="E26" s="2">
        <f>D26+C26</f>
        <v>0.34776899999999999</v>
      </c>
      <c r="F26" s="2">
        <v>1</v>
      </c>
      <c r="G26" s="2">
        <f t="shared" ref="G26:G37" si="3">$D$25/D26</f>
        <v>0.98248348939845587</v>
      </c>
      <c r="H26" s="3">
        <f t="shared" ref="H26:H37" si="4">G26/A26</f>
        <v>0.24562087234961397</v>
      </c>
    </row>
    <row r="27" spans="1:8" x14ac:dyDescent="0.25">
      <c r="A27" s="5">
        <v>8</v>
      </c>
      <c r="B27" s="5">
        <v>5657</v>
      </c>
      <c r="C27" s="5">
        <v>0.31903900000000002</v>
      </c>
      <c r="D27" s="5">
        <v>0.187418</v>
      </c>
      <c r="E27" s="2">
        <f>D27+C27</f>
        <v>0.50645700000000005</v>
      </c>
      <c r="F27" s="2">
        <v>1</v>
      </c>
      <c r="G27" s="2">
        <f t="shared" si="3"/>
        <v>0.99537931255268963</v>
      </c>
      <c r="H27" s="3">
        <f t="shared" si="4"/>
        <v>0.1244224140690862</v>
      </c>
    </row>
    <row r="28" spans="1:8" x14ac:dyDescent="0.25">
      <c r="A28" s="6">
        <v>12</v>
      </c>
      <c r="B28" s="6">
        <v>6928</v>
      </c>
      <c r="C28" s="6">
        <v>0.48030899999999999</v>
      </c>
      <c r="D28" s="6">
        <v>0.19006500000000001</v>
      </c>
      <c r="E28" s="2">
        <f t="shared" ref="E26:E37" si="5">D28+C28</f>
        <v>0.67037400000000003</v>
      </c>
      <c r="F28" s="2">
        <v>1</v>
      </c>
      <c r="G28" s="2">
        <f>$D$25/D28</f>
        <v>0.98151684949885554</v>
      </c>
      <c r="H28" s="3">
        <f t="shared" si="4"/>
        <v>8.179307079157129E-2</v>
      </c>
    </row>
    <row r="29" spans="1:8" x14ac:dyDescent="0.25">
      <c r="A29" s="5">
        <v>16</v>
      </c>
      <c r="B29" s="5">
        <v>8000</v>
      </c>
      <c r="C29" s="5">
        <v>0.64014300000000002</v>
      </c>
      <c r="D29" s="5">
        <v>0.18832499999999999</v>
      </c>
      <c r="E29" s="2">
        <f t="shared" si="5"/>
        <v>0.82846799999999998</v>
      </c>
      <c r="F29" s="2">
        <v>1</v>
      </c>
      <c r="G29" s="2">
        <f t="shared" si="3"/>
        <v>0.99058542413381123</v>
      </c>
      <c r="H29" s="3">
        <f t="shared" si="4"/>
        <v>6.1911589008363202E-2</v>
      </c>
    </row>
    <row r="30" spans="1:8" x14ac:dyDescent="0.25">
      <c r="A30" s="6">
        <v>20</v>
      </c>
      <c r="B30" s="6">
        <v>8944</v>
      </c>
      <c r="C30" s="6">
        <v>0.80016500000000002</v>
      </c>
      <c r="D30" s="6">
        <v>0.188221</v>
      </c>
      <c r="E30" s="2">
        <f t="shared" si="5"/>
        <v>0.98838599999999999</v>
      </c>
      <c r="F30" s="2">
        <v>1</v>
      </c>
      <c r="G30" s="2">
        <f t="shared" si="3"/>
        <v>0.9911327641442772</v>
      </c>
      <c r="H30" s="3">
        <f t="shared" si="4"/>
        <v>4.9556638207213857E-2</v>
      </c>
    </row>
    <row r="31" spans="1:8" x14ac:dyDescent="0.25">
      <c r="A31" s="5">
        <v>24</v>
      </c>
      <c r="B31" s="5">
        <v>9798</v>
      </c>
      <c r="C31" s="5">
        <v>0.96057099999999995</v>
      </c>
      <c r="D31" s="5">
        <v>0.191021</v>
      </c>
      <c r="E31" s="2">
        <f t="shared" si="5"/>
        <v>1.1515919999999999</v>
      </c>
      <c r="F31" s="2">
        <v>1</v>
      </c>
      <c r="G31" s="2">
        <f t="shared" si="3"/>
        <v>0.97660466650263578</v>
      </c>
      <c r="H31" s="3">
        <f t="shared" si="4"/>
        <v>4.0691861104276493E-2</v>
      </c>
    </row>
    <row r="32" spans="1:8" x14ac:dyDescent="0.25">
      <c r="A32" s="6">
        <v>28</v>
      </c>
      <c r="B32" s="6">
        <v>10583</v>
      </c>
      <c r="C32" s="6">
        <v>1.1250020000000001</v>
      </c>
      <c r="D32" s="6">
        <v>0.19159200000000001</v>
      </c>
      <c r="E32" s="2">
        <f t="shared" si="5"/>
        <v>1.316594</v>
      </c>
      <c r="F32" s="2">
        <v>1</v>
      </c>
      <c r="G32" s="2">
        <f t="shared" si="3"/>
        <v>0.97369409996242007</v>
      </c>
      <c r="H32" s="3">
        <f t="shared" si="4"/>
        <v>3.4774789284372144E-2</v>
      </c>
    </row>
    <row r="33" spans="1:8" x14ac:dyDescent="0.25">
      <c r="A33" s="5">
        <v>32</v>
      </c>
      <c r="B33" s="5">
        <v>11314</v>
      </c>
      <c r="C33" s="5">
        <v>1.284721</v>
      </c>
      <c r="D33" s="5">
        <v>0.19132299999999999</v>
      </c>
      <c r="E33" s="2">
        <f t="shared" si="5"/>
        <v>1.4760439999999999</v>
      </c>
      <c r="F33" s="2">
        <v>1</v>
      </c>
      <c r="G33" s="2">
        <f t="shared" si="3"/>
        <v>0.97506311316464833</v>
      </c>
      <c r="H33" s="3">
        <f t="shared" si="4"/>
        <v>3.047072228639526E-2</v>
      </c>
    </row>
    <row r="34" spans="1:8" x14ac:dyDescent="0.25">
      <c r="A34" s="6">
        <v>36</v>
      </c>
      <c r="B34" s="6">
        <v>12000</v>
      </c>
      <c r="C34" s="6">
        <v>1.446366</v>
      </c>
      <c r="D34" s="6">
        <v>0.19178799999999999</v>
      </c>
      <c r="E34" s="2">
        <f t="shared" si="5"/>
        <v>1.6381540000000001</v>
      </c>
      <c r="F34" s="2">
        <v>1</v>
      </c>
      <c r="G34" s="2">
        <f t="shared" si="3"/>
        <v>0.97269902183661128</v>
      </c>
      <c r="H34" s="3">
        <f t="shared" si="4"/>
        <v>2.7019417273239203E-2</v>
      </c>
    </row>
    <row r="35" spans="1:8" x14ac:dyDescent="0.25">
      <c r="A35" s="5">
        <v>40</v>
      </c>
      <c r="B35" s="5">
        <v>12649</v>
      </c>
      <c r="C35" s="5">
        <v>1.606079</v>
      </c>
      <c r="D35" s="5">
        <v>0.192055</v>
      </c>
      <c r="E35" s="2">
        <f t="shared" si="5"/>
        <v>1.7981340000000001</v>
      </c>
      <c r="F35" s="2">
        <v>1</v>
      </c>
      <c r="G35" s="2">
        <f>$D$25/D35</f>
        <v>0.97134674962901246</v>
      </c>
      <c r="H35" s="3">
        <f>G35/A35</f>
        <v>2.4283668740725312E-2</v>
      </c>
    </row>
    <row r="36" spans="1:8" x14ac:dyDescent="0.25">
      <c r="A36" s="6">
        <v>44</v>
      </c>
      <c r="B36" s="6">
        <v>13266</v>
      </c>
      <c r="C36" s="6">
        <v>1.7684120000000001</v>
      </c>
      <c r="D36" s="6">
        <v>0.192686</v>
      </c>
      <c r="E36" s="2">
        <f t="shared" si="5"/>
        <v>1.961098</v>
      </c>
      <c r="F36" s="2">
        <v>1</v>
      </c>
      <c r="G36" s="2">
        <f t="shared" si="3"/>
        <v>0.96816582419065211</v>
      </c>
      <c r="H36" s="3">
        <f t="shared" si="4"/>
        <v>2.2003768731605731E-2</v>
      </c>
    </row>
    <row r="37" spans="1:8" x14ac:dyDescent="0.25">
      <c r="A37" s="5">
        <v>48</v>
      </c>
      <c r="B37" s="5">
        <v>13856</v>
      </c>
      <c r="C37" s="5">
        <v>1.9299249999999999</v>
      </c>
      <c r="D37" s="5">
        <v>0.19541800000000001</v>
      </c>
      <c r="E37" s="2">
        <f t="shared" si="5"/>
        <v>2.125343</v>
      </c>
      <c r="F37" s="2">
        <v>1</v>
      </c>
      <c r="G37" s="2">
        <f t="shared" si="3"/>
        <v>0.9546305867422652</v>
      </c>
      <c r="H37" s="3">
        <f t="shared" si="4"/>
        <v>1.9888137223797193E-2</v>
      </c>
    </row>
  </sheetData>
  <mergeCells count="2">
    <mergeCell ref="A1:H1"/>
    <mergeCell ref="A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F1C71-7097-4D4B-9E0B-B83EA494B0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mpi 1 node</vt:lpstr>
      <vt:lpstr>mpi 25nodes</vt:lpstr>
      <vt:lpstr>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 De Luca</cp:lastModifiedBy>
  <dcterms:created xsi:type="dcterms:W3CDTF">2015-06-05T18:17:20Z</dcterms:created>
  <dcterms:modified xsi:type="dcterms:W3CDTF">2026-01-18T02:11:07Z</dcterms:modified>
</cp:coreProperties>
</file>