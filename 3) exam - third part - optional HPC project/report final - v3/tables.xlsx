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concurrentAndParallelSystems2025\3) exam - third part - optional HPC project\report final - v2\"/>
    </mc:Choice>
  </mc:AlternateContent>
  <xr:revisionPtr revIDLastSave="0" documentId="13_ncr:1_{F5576F7A-303C-4D5F-8D16-1323AA687C16}" xr6:coauthVersionLast="47" xr6:coauthVersionMax="47" xr10:uidLastSave="{00000000-0000-0000-0000-000000000000}"/>
  <bookViews>
    <workbookView xWindow="9330" yWindow="1695" windowWidth="28800" windowHeight="15345" activeTab="2" xr2:uid="{00000000-000D-0000-FFFF-FFFF00000000}"/>
  </bookViews>
  <sheets>
    <sheet name="mpi 1 node" sheetId="6" r:id="rId1"/>
    <sheet name="omp" sheetId="13" r:id="rId2"/>
    <sheet name="Sintesi" sheetId="20" r:id="rId3"/>
    <sheet name="mpi 25nodes" sheetId="1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13" l="1"/>
  <c r="G47" i="13"/>
  <c r="G48" i="13"/>
  <c r="H48" i="13" s="1"/>
  <c r="G49" i="13"/>
  <c r="H49" i="13" s="1"/>
  <c r="G50" i="13"/>
  <c r="G51" i="13"/>
  <c r="G52" i="13"/>
  <c r="G53" i="13"/>
  <c r="H53" i="13" s="1"/>
  <c r="G54" i="13"/>
  <c r="H54" i="13" s="1"/>
  <c r="G55" i="13"/>
  <c r="G56" i="13"/>
  <c r="H56" i="13" s="1"/>
  <c r="G57" i="13"/>
  <c r="G58" i="13"/>
  <c r="G46" i="13"/>
  <c r="H46" i="13" s="1"/>
  <c r="G47" i="6"/>
  <c r="H47" i="6" s="1"/>
  <c r="G48" i="6"/>
  <c r="G49" i="6"/>
  <c r="G50" i="6"/>
  <c r="G51" i="6"/>
  <c r="G52" i="6"/>
  <c r="H52" i="6" s="1"/>
  <c r="G53" i="6"/>
  <c r="H53" i="6" s="1"/>
  <c r="G54" i="6"/>
  <c r="H54" i="6" s="1"/>
  <c r="G55" i="6"/>
  <c r="H55" i="6" s="1"/>
  <c r="G56" i="6"/>
  <c r="G57" i="6"/>
  <c r="G58" i="6"/>
  <c r="G46" i="6"/>
  <c r="G47" i="19"/>
  <c r="G48" i="19"/>
  <c r="G49" i="19"/>
  <c r="G50" i="19"/>
  <c r="G51" i="19"/>
  <c r="H51" i="19" s="1"/>
  <c r="G52" i="19"/>
  <c r="H52" i="19" s="1"/>
  <c r="G53" i="19"/>
  <c r="H53" i="19" s="1"/>
  <c r="G54" i="19"/>
  <c r="G55" i="19"/>
  <c r="H55" i="19" s="1"/>
  <c r="G56" i="19"/>
  <c r="G57" i="19"/>
  <c r="G58" i="19"/>
  <c r="G46" i="19"/>
  <c r="G15" i="6"/>
  <c r="H4" i="6"/>
  <c r="G4" i="6"/>
  <c r="E4" i="6"/>
  <c r="G5" i="6"/>
  <c r="H5" i="6" s="1"/>
  <c r="H58" i="19"/>
  <c r="E58" i="19"/>
  <c r="H57" i="19"/>
  <c r="E57" i="19"/>
  <c r="H56" i="19"/>
  <c r="E56" i="19"/>
  <c r="E55" i="19"/>
  <c r="H54" i="19"/>
  <c r="E54" i="19"/>
  <c r="E53" i="19"/>
  <c r="E52" i="19"/>
  <c r="E51" i="19"/>
  <c r="H50" i="19"/>
  <c r="E50" i="19"/>
  <c r="H49" i="19"/>
  <c r="E49" i="19"/>
  <c r="H48" i="19"/>
  <c r="E48" i="19"/>
  <c r="H47" i="19"/>
  <c r="E47" i="19"/>
  <c r="H46" i="19"/>
  <c r="E46" i="19"/>
  <c r="G15" i="19"/>
  <c r="H15" i="19" s="1"/>
  <c r="E15" i="19"/>
  <c r="G14" i="19"/>
  <c r="H14" i="19" s="1"/>
  <c r="E14" i="19"/>
  <c r="G13" i="19"/>
  <c r="H13" i="19" s="1"/>
  <c r="E13" i="19"/>
  <c r="G12" i="19"/>
  <c r="H12" i="19" s="1"/>
  <c r="E12" i="19"/>
  <c r="G11" i="19"/>
  <c r="H11" i="19" s="1"/>
  <c r="E11" i="19"/>
  <c r="G10" i="19"/>
  <c r="H10" i="19" s="1"/>
  <c r="E10" i="19"/>
  <c r="G9" i="19"/>
  <c r="H9" i="19" s="1"/>
  <c r="E9" i="19"/>
  <c r="G8" i="19"/>
  <c r="H8" i="19" s="1"/>
  <c r="E8" i="19"/>
  <c r="G7" i="19"/>
  <c r="H7" i="19" s="1"/>
  <c r="E7" i="19"/>
  <c r="G6" i="19"/>
  <c r="H6" i="19" s="1"/>
  <c r="E6" i="19"/>
  <c r="H5" i="19"/>
  <c r="G5" i="19"/>
  <c r="E5" i="19"/>
  <c r="G4" i="19"/>
  <c r="H4" i="19" s="1"/>
  <c r="E4" i="19"/>
  <c r="G3" i="19"/>
  <c r="H3" i="19" s="1"/>
  <c r="E3" i="19"/>
  <c r="G11" i="13"/>
  <c r="H11" i="13" s="1"/>
  <c r="E46" i="6"/>
  <c r="G7" i="13"/>
  <c r="H7" i="13" s="1"/>
  <c r="H47" i="13"/>
  <c r="H50" i="13"/>
  <c r="H55" i="13"/>
  <c r="H57" i="13"/>
  <c r="E48" i="13"/>
  <c r="E47" i="13"/>
  <c r="E46" i="13"/>
  <c r="E58" i="13"/>
  <c r="E57" i="13"/>
  <c r="E56" i="13"/>
  <c r="E55" i="13"/>
  <c r="E54" i="13"/>
  <c r="E53" i="13"/>
  <c r="H52" i="13"/>
  <c r="E52" i="13"/>
  <c r="H51" i="13"/>
  <c r="E51" i="13"/>
  <c r="E50" i="13"/>
  <c r="E49" i="13"/>
  <c r="G3" i="13"/>
  <c r="H3" i="13" s="1"/>
  <c r="G15" i="13"/>
  <c r="H15" i="13" s="1"/>
  <c r="G4" i="13"/>
  <c r="H4" i="13" s="1"/>
  <c r="G5" i="13"/>
  <c r="H5" i="13" s="1"/>
  <c r="G6" i="13"/>
  <c r="H6" i="13" s="1"/>
  <c r="G8" i="13"/>
  <c r="H8" i="13" s="1"/>
  <c r="G9" i="13"/>
  <c r="H9" i="13" s="1"/>
  <c r="G10" i="13"/>
  <c r="H10" i="13" s="1"/>
  <c r="G12" i="13"/>
  <c r="H12" i="13" s="1"/>
  <c r="G13" i="13"/>
  <c r="H13" i="13" s="1"/>
  <c r="G14" i="13"/>
  <c r="H14" i="13" s="1"/>
  <c r="E4" i="13"/>
  <c r="E5" i="13"/>
  <c r="E6" i="13"/>
  <c r="E7" i="13"/>
  <c r="E8" i="13"/>
  <c r="E9" i="13"/>
  <c r="E10" i="13"/>
  <c r="E11" i="13"/>
  <c r="E12" i="13"/>
  <c r="E13" i="13"/>
  <c r="E14" i="13"/>
  <c r="E15" i="13"/>
  <c r="E3" i="13"/>
  <c r="H48" i="6"/>
  <c r="H51" i="6"/>
  <c r="H49" i="6"/>
  <c r="H46" i="6"/>
  <c r="G11" i="6"/>
  <c r="G7" i="6"/>
  <c r="H7" i="6" s="1"/>
  <c r="G6" i="6"/>
  <c r="H6" i="6" s="1"/>
  <c r="G8" i="6"/>
  <c r="G9" i="6"/>
  <c r="G10" i="6"/>
  <c r="G12" i="6"/>
  <c r="G13" i="6"/>
  <c r="G14" i="6"/>
  <c r="H15" i="6"/>
  <c r="G16" i="6"/>
  <c r="G3" i="6"/>
  <c r="H3" i="6" s="1"/>
  <c r="H50" i="6"/>
  <c r="H56" i="6"/>
  <c r="H57" i="6"/>
  <c r="H58" i="6"/>
  <c r="E58" i="6"/>
  <c r="E47" i="6"/>
  <c r="E48" i="6"/>
  <c r="E49" i="6"/>
  <c r="E50" i="6"/>
  <c r="E51" i="6"/>
  <c r="E52" i="6"/>
  <c r="E53" i="6"/>
  <c r="E54" i="6"/>
  <c r="E55" i="6"/>
  <c r="E56" i="6"/>
  <c r="E57" i="6"/>
  <c r="E5" i="6"/>
  <c r="E6" i="6"/>
  <c r="E7" i="6"/>
  <c r="E8" i="6"/>
  <c r="E9" i="6"/>
  <c r="E10" i="6"/>
  <c r="E11" i="6"/>
  <c r="E12" i="6"/>
  <c r="E13" i="6"/>
  <c r="E14" i="6"/>
  <c r="E15" i="6"/>
  <c r="E16" i="6"/>
  <c r="E3" i="6"/>
  <c r="H8" i="6" l="1"/>
  <c r="H14" i="6"/>
  <c r="H13" i="6"/>
  <c r="H12" i="6"/>
  <c r="H11" i="6"/>
  <c r="H10" i="6"/>
  <c r="H9" i="6"/>
  <c r="H1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6232D-1FD1-4721-8F93-F85D394691CA}" keepAlive="1" name="Query - out" description="Connection to the 'out' query in the workbook." type="5" refreshedVersion="8" background="1" saveData="1">
    <dbPr connection="Provider=Microsoft.Mashup.OleDb.1;Data Source=$Workbook$;Location=out;Extended Properties=&quot;&quot;" command="SELECT * FROM [out]"/>
  </connection>
  <connection id="2" xr16:uid="{7F28241D-950B-4BBD-941F-B98C298CABAC}" keepAlive="1" name="Query - out (10)" description="Connection to the 'out (10)' query in the workbook." type="5" refreshedVersion="0" background="1">
    <dbPr connection="Provider=Microsoft.Mashup.OleDb.1;Data Source=$Workbook$;Location=&quot;out (10)&quot;;Extended Properties=&quot;&quot;" command="SELECT * FROM [out (10)]"/>
  </connection>
  <connection id="3" xr16:uid="{01A15927-BAC2-4D3B-8F52-4057D8878B8A}" keepAlive="1" name="Query - out (11)" description="Connection to the 'out (11)' query in the workbook." type="5" refreshedVersion="0" background="1">
    <dbPr connection="Provider=Microsoft.Mashup.OleDb.1;Data Source=$Workbook$;Location=&quot;out (11)&quot;;Extended Properties=&quot;&quot;" command="SELECT * FROM [out (11)]"/>
  </connection>
  <connection id="4" xr16:uid="{537416AB-0DBA-4888-88F5-795DC4FC1684}" keepAlive="1" name="Query - out (12)" description="Connection to the 'out (12)' query in the workbook." type="5" refreshedVersion="0" background="1">
    <dbPr connection="Provider=Microsoft.Mashup.OleDb.1;Data Source=$Workbook$;Location=&quot;out (12)&quot;;Extended Properties=&quot;&quot;" command="SELECT * FROM [out (12)]"/>
  </connection>
  <connection id="5" xr16:uid="{FC623EC0-2A0C-4969-A4F9-946A3A1EBDEE}" keepAlive="1" name="Query - out (13)" description="Connection to the 'out (13)' query in the workbook." type="5" refreshedVersion="0" background="1">
    <dbPr connection="Provider=Microsoft.Mashup.OleDb.1;Data Source=$Workbook$;Location=&quot;out (13)&quot;;Extended Properties=&quot;&quot;" command="SELECT * FROM [out (13)]"/>
  </connection>
  <connection id="6" xr16:uid="{842C7077-941B-4E64-8EE0-F9278C3931FF}" keepAlive="1" name="Query - out (2)" description="Connection to the 'out (2)' query in the workbook." type="5" refreshedVersion="0" background="1">
    <dbPr connection="Provider=Microsoft.Mashup.OleDb.1;Data Source=$Workbook$;Location=&quot;out (2)&quot;;Extended Properties=&quot;&quot;" command="SELECT * FROM [out (2)]"/>
  </connection>
  <connection id="7" xr16:uid="{8E118C4D-DA71-4B57-B9BC-872A83A5939C}" keepAlive="1" name="Query - out (3)" description="Connection to the 'out (3)' query in the workbook." type="5" refreshedVersion="0" background="1">
    <dbPr connection="Provider=Microsoft.Mashup.OleDb.1;Data Source=$Workbook$;Location=&quot;out (3)&quot;;Extended Properties=&quot;&quot;" command="SELECT * FROM [out (3)]"/>
  </connection>
  <connection id="8" xr16:uid="{6A588D5D-D5E8-4392-A1CD-9468254DA317}" keepAlive="1" name="Query - out (4)" description="Connection to the 'out (4)' query in the workbook." type="5" refreshedVersion="0" background="1">
    <dbPr connection="Provider=Microsoft.Mashup.OleDb.1;Data Source=$Workbook$;Location=&quot;out (4)&quot;;Extended Properties=&quot;&quot;" command="SELECT * FROM [out (4)]"/>
  </connection>
  <connection id="9" xr16:uid="{D88A9D88-AA93-411B-A8B3-05C8D7D4F668}" keepAlive="1" name="Query - out (5)" description="Connection to the 'out (5)' query in the workbook." type="5" refreshedVersion="0" background="1">
    <dbPr connection="Provider=Microsoft.Mashup.OleDb.1;Data Source=$Workbook$;Location=&quot;out (5)&quot;;Extended Properties=&quot;&quot;" command="SELECT * FROM [out (5)]"/>
  </connection>
  <connection id="10" xr16:uid="{B10D7EC2-9855-4690-B1E2-E3489D5F3CC9}" keepAlive="1" name="Query - out (6)" description="Connection to the 'out (6)' query in the workbook." type="5" refreshedVersion="0" background="1">
    <dbPr connection="Provider=Microsoft.Mashup.OleDb.1;Data Source=$Workbook$;Location=&quot;out (6)&quot;;Extended Properties=&quot;&quot;" command="SELECT * FROM [out (6)]"/>
  </connection>
  <connection id="11" xr16:uid="{FF370B19-21D8-4E7D-A2F0-8596361CEA9A}" keepAlive="1" name="Query - out (7)" description="Connection to the 'out (7)' query in the workbook." type="5" refreshedVersion="0" background="1">
    <dbPr connection="Provider=Microsoft.Mashup.OleDb.1;Data Source=$Workbook$;Location=&quot;out (7)&quot;;Extended Properties=&quot;&quot;" command="SELECT * FROM [out (7)]"/>
  </connection>
  <connection id="12" xr16:uid="{51720AD4-9883-43BA-90DB-0B54665F88D4}" keepAlive="1" name="Query - out (8)" description="Connection to the 'out (8)' query in the workbook." type="5" refreshedVersion="0" background="1">
    <dbPr connection="Provider=Microsoft.Mashup.OleDb.1;Data Source=$Workbook$;Location=&quot;out (8)&quot;;Extended Properties=&quot;&quot;" command="SELECT * FROM [out (8)]"/>
  </connection>
  <connection id="13" xr16:uid="{F339D91E-C7D8-45B1-A513-FFED5335FD58}" keepAlive="1" name="Query - out (9)" description="Connection to the 'out (9)' query in the workbook." type="5" refreshedVersion="0" background="1">
    <dbPr connection="Provider=Microsoft.Mashup.OleDb.1;Data Source=$Workbook$;Location=&quot;out (9)&quot;;Extended Properties=&quot;&quot;" command="SELECT * FROM [out (9)]"/>
  </connection>
</connections>
</file>

<file path=xl/sharedStrings.xml><?xml version="1.0" encoding="utf-8"?>
<sst xmlns="http://schemas.openxmlformats.org/spreadsheetml/2006/main" count="90" uniqueCount="18">
  <si>
    <t>P</t>
  </si>
  <si>
    <t>N</t>
  </si>
  <si>
    <t>nodes</t>
  </si>
  <si>
    <t>Speedup</t>
  </si>
  <si>
    <t>Efficenza</t>
  </si>
  <si>
    <t>sequentialT(s)</t>
  </si>
  <si>
    <t>parallelT(s)</t>
  </si>
  <si>
    <t>totalT(s)</t>
  </si>
  <si>
    <t>STRONG SCALABILITY MPI</t>
  </si>
  <si>
    <t>WEAK SCALABILITY MPI</t>
  </si>
  <si>
    <t>STRONG SCALABILITY OMP</t>
  </si>
  <si>
    <t>WEAK SCALABILITY OMP</t>
  </si>
  <si>
    <t>Speedup MPI</t>
  </si>
  <si>
    <t>Speedup OMP</t>
  </si>
  <si>
    <t>Efficienza</t>
  </si>
  <si>
    <t>Efficienza OMP</t>
  </si>
  <si>
    <t>Efficienza  OMP</t>
  </si>
  <si>
    <t>Efficienza MPI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</si>
</sst>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3" fillId="0" borderId="0" xfId="0" applyFont="1"/>
    <xf numFmtId="1" fontId="3" fillId="3" borderId="1" xfId="0" applyNumberFormat="1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1 node'!$G$2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'mpi 1 node'!$A$3:$A$16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cat>
          <c:val>
            <c:numRef>
              <c:f>'mpi 1 node'!$G$3:$G$16</c:f>
              <c:numCache>
                <c:formatCode>General</c:formatCode>
                <c:ptCount val="14"/>
                <c:pt idx="0">
                  <c:v>1</c:v>
                </c:pt>
                <c:pt idx="1">
                  <c:v>1.4872181330746006</c:v>
                </c:pt>
                <c:pt idx="2">
                  <c:v>2.465078670868067</c:v>
                </c:pt>
                <c:pt idx="3">
                  <c:v>2.0751289809319808</c:v>
                </c:pt>
                <c:pt idx="4">
                  <c:v>2.325497132011956</c:v>
                </c:pt>
                <c:pt idx="5">
                  <c:v>2.3664709351910962</c:v>
                </c:pt>
                <c:pt idx="6">
                  <c:v>2.3624817947314303</c:v>
                </c:pt>
                <c:pt idx="7">
                  <c:v>2.405535401631568</c:v>
                </c:pt>
                <c:pt idx="8">
                  <c:v>2.4647396974037967</c:v>
                </c:pt>
                <c:pt idx="9">
                  <c:v>2.5005863701283704</c:v>
                </c:pt>
                <c:pt idx="10">
                  <c:v>2.3784893655856085</c:v>
                </c:pt>
                <c:pt idx="11">
                  <c:v>2.2126750550901191</c:v>
                </c:pt>
                <c:pt idx="12">
                  <c:v>2.1637120642040379</c:v>
                </c:pt>
                <c:pt idx="13">
                  <c:v>2.1851940255561804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FC-4E99-8B19-6A327F9AF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1 node'!$G$45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'mpi 1 node'!$A$46:$A$58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1 node'!$G$46:$G$58</c:f>
              <c:numCache>
                <c:formatCode>General</c:formatCode>
                <c:ptCount val="13"/>
                <c:pt idx="0">
                  <c:v>1</c:v>
                </c:pt>
                <c:pt idx="1">
                  <c:v>2.3921270632201805</c:v>
                </c:pt>
                <c:pt idx="2">
                  <c:v>2.0874764241959767</c:v>
                </c:pt>
                <c:pt idx="3">
                  <c:v>2.3173502389418976</c:v>
                </c:pt>
                <c:pt idx="4">
                  <c:v>2.3782471654065036</c:v>
                </c:pt>
                <c:pt idx="5">
                  <c:v>2.4072045148560526</c:v>
                </c:pt>
                <c:pt idx="6">
                  <c:v>2.4279067415162094</c:v>
                </c:pt>
                <c:pt idx="7">
                  <c:v>2.4812612715717348</c:v>
                </c:pt>
                <c:pt idx="8">
                  <c:v>2.4781323800797534</c:v>
                </c:pt>
                <c:pt idx="9">
                  <c:v>2.3751470507393768</c:v>
                </c:pt>
                <c:pt idx="10">
                  <c:v>2.2678481377422375</c:v>
                </c:pt>
                <c:pt idx="11">
                  <c:v>1.4153063972973734</c:v>
                </c:pt>
                <c:pt idx="12">
                  <c:v>2.2842098272124316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8A-4C8C-A61C-4E7091B69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1 node'!$H$2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'mpi 1 node'!$A$3:$A$16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cat>
          <c:val>
            <c:numRef>
              <c:f>'mpi 1 node'!$H$3:$H$16</c:f>
              <c:numCache>
                <c:formatCode>General</c:formatCode>
                <c:ptCount val="14"/>
                <c:pt idx="0">
                  <c:v>1</c:v>
                </c:pt>
                <c:pt idx="1">
                  <c:v>0.7436090665373003</c:v>
                </c:pt>
                <c:pt idx="2">
                  <c:v>0.61626966771701674</c:v>
                </c:pt>
                <c:pt idx="3">
                  <c:v>0.2593911226164976</c:v>
                </c:pt>
                <c:pt idx="4">
                  <c:v>0.193791427667663</c:v>
                </c:pt>
                <c:pt idx="5">
                  <c:v>0.14790443344944351</c:v>
                </c:pt>
                <c:pt idx="6">
                  <c:v>0.11812408973657151</c:v>
                </c:pt>
                <c:pt idx="7">
                  <c:v>0.10023064173464867</c:v>
                </c:pt>
                <c:pt idx="8">
                  <c:v>8.8026417764421314E-2</c:v>
                </c:pt>
                <c:pt idx="9">
                  <c:v>7.8143324066511574E-2</c:v>
                </c:pt>
                <c:pt idx="10">
                  <c:v>6.6069149044044678E-2</c:v>
                </c:pt>
                <c:pt idx="11">
                  <c:v>5.531687637725298E-2</c:v>
                </c:pt>
                <c:pt idx="12">
                  <c:v>4.9175274186455405E-2</c:v>
                </c:pt>
                <c:pt idx="13">
                  <c:v>4.5524875532420427E-2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E6-45BA-80BB-B9459F3EF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EFFICIENZA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1 node'!$H$45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'mpi 1 node'!$A$46:$A$58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1 node'!$H$46:$H$58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0.10116278089650872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5.6696203443555936E-2</c:v>
                </c:pt>
                <c:pt idx="11">
                  <c:v>3.216605448403121E-2</c:v>
                </c:pt>
                <c:pt idx="12">
                  <c:v>4.7587704733592327E-2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25-4FF3-B228-7097A42D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processes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STRONG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606-4AB7-BB86-86C7AA3416D2}"/>
            </c:ext>
          </c:extLst>
        </c:ser>
        <c:ser>
          <c:idx val="2"/>
          <c:order val="1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06-4AB7-BB86-86C7AA3416D2}"/>
            </c:ext>
          </c:extLst>
        </c:ser>
        <c:ser>
          <c:idx val="0"/>
          <c:order val="2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06-4AB7-BB86-86C7AA3416D2}"/>
            </c:ext>
          </c:extLst>
        </c:ser>
        <c:ser>
          <c:idx val="5"/>
          <c:order val="3"/>
          <c:tx>
            <c:strRef>
              <c:f>omp!$G$2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  <a:headEnd type="none"/>
              <a:tailEnd type="none"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 cap="rnd">
                <a:solidFill>
                  <a:srgbClr val="FF0000"/>
                </a:solidFill>
              </a:ln>
              <a:effectLst/>
            </c:spPr>
          </c:marke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omp!$G$3:$G$15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606-4AB7-BB86-86C7AA341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omp!$A$46:$A$58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omp!$G$46:$G$58</c:f>
              <c:numCache>
                <c:formatCode>General</c:formatCode>
                <c:ptCount val="13"/>
                <c:pt idx="0">
                  <c:v>1</c:v>
                </c:pt>
                <c:pt idx="1">
                  <c:v>3.9299339575938235</c:v>
                </c:pt>
                <c:pt idx="2">
                  <c:v>7.9630345004215171</c:v>
                </c:pt>
                <c:pt idx="3">
                  <c:v>11.778202193986266</c:v>
                </c:pt>
                <c:pt idx="4">
                  <c:v>15.84936678614098</c:v>
                </c:pt>
                <c:pt idx="5">
                  <c:v>19.822655282885545</c:v>
                </c:pt>
                <c:pt idx="6">
                  <c:v>23.438511996063259</c:v>
                </c:pt>
                <c:pt idx="7">
                  <c:v>27.26343479894776</c:v>
                </c:pt>
                <c:pt idx="8">
                  <c:v>31.202019621268747</c:v>
                </c:pt>
                <c:pt idx="9">
                  <c:v>35.017164786118009</c:v>
                </c:pt>
                <c:pt idx="10">
                  <c:v>38.8538699851605</c:v>
                </c:pt>
                <c:pt idx="11">
                  <c:v>42.599296264388691</c:v>
                </c:pt>
                <c:pt idx="12">
                  <c:v>45.822268163628728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6D4-4D17-9D67-8E7E98AB9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STRONG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omp!$H$2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omp!$H$3:$H$15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53-4FCE-A2DB-DD0312AE7625}"/>
            </c:ext>
          </c:extLst>
        </c:ser>
        <c:ser>
          <c:idx val="0"/>
          <c:order val="1"/>
          <c:tx>
            <c:strRef>
              <c:f>omp!$H$2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>
              <a:solidFill>
                <a:schemeClr val="tx1"/>
              </a:solidFill>
              <a:prstDash val="lgDash"/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omp!$A$3:$A$15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omp!$H$3:$H$15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53-4FCE-A2DB-DD0312AE7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OMP - WEAK SCALABILITY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omp!$H$45</c:f>
              <c:strCache>
                <c:ptCount val="1"/>
                <c:pt idx="0">
                  <c:v>Efficienza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numRef>
              <c:f>omp!$A$46:$A$58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omp!$H$46:$H$58</c:f>
              <c:numCache>
                <c:formatCode>General</c:formatCode>
                <c:ptCount val="13"/>
                <c:pt idx="0">
                  <c:v>1</c:v>
                </c:pt>
                <c:pt idx="1">
                  <c:v>0.98248348939845587</c:v>
                </c:pt>
                <c:pt idx="2">
                  <c:v>0.99537931255268963</c:v>
                </c:pt>
                <c:pt idx="3">
                  <c:v>0.98151684949885543</c:v>
                </c:pt>
                <c:pt idx="4">
                  <c:v>0.99058542413381123</c:v>
                </c:pt>
                <c:pt idx="5">
                  <c:v>0.99113276414427731</c:v>
                </c:pt>
                <c:pt idx="6">
                  <c:v>0.97660466650263578</c:v>
                </c:pt>
                <c:pt idx="7">
                  <c:v>0.97369409996241996</c:v>
                </c:pt>
                <c:pt idx="8">
                  <c:v>0.97506311316464833</c:v>
                </c:pt>
                <c:pt idx="9">
                  <c:v>0.97269902183661139</c:v>
                </c:pt>
                <c:pt idx="10">
                  <c:v>0.97134674962901246</c:v>
                </c:pt>
                <c:pt idx="11">
                  <c:v>0.96816582419065211</c:v>
                </c:pt>
                <c:pt idx="12">
                  <c:v>0.9546305867422652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9-4B22-B3C7-AA0992BB7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  <c:majorUnit val="2"/>
        <c:majorTimeUnit val="days"/>
        <c:minorUnit val="2"/>
        <c:minor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Strong scalability MPI vs 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6"/>
          <c:order val="1"/>
          <c:tx>
            <c:strRef>
              <c:f>Sintesi!$H$2</c:f>
              <c:strCache>
                <c:ptCount val="1"/>
                <c:pt idx="0">
                  <c:v>Efficienza MPI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xVal>
          <c:yVal>
            <c:numRef>
              <c:f>Sintesi!$H$3:$H$16</c:f>
              <c:numCache>
                <c:formatCode>General</c:formatCode>
                <c:ptCount val="14"/>
                <c:pt idx="0">
                  <c:v>1</c:v>
                </c:pt>
                <c:pt idx="1">
                  <c:v>0.7436090665373003</c:v>
                </c:pt>
                <c:pt idx="2">
                  <c:v>0.61626966771701674</c:v>
                </c:pt>
                <c:pt idx="3">
                  <c:v>0.2593911226164976</c:v>
                </c:pt>
                <c:pt idx="4">
                  <c:v>0.193791427667663</c:v>
                </c:pt>
                <c:pt idx="5">
                  <c:v>0.14790443344944351</c:v>
                </c:pt>
                <c:pt idx="6">
                  <c:v>0.11812408973657151</c:v>
                </c:pt>
                <c:pt idx="7">
                  <c:v>0.10023064173464867</c:v>
                </c:pt>
                <c:pt idx="8">
                  <c:v>8.8026417764421314E-2</c:v>
                </c:pt>
                <c:pt idx="9">
                  <c:v>7.8143324066511574E-2</c:v>
                </c:pt>
                <c:pt idx="10">
                  <c:v>6.6069149044044678E-2</c:v>
                </c:pt>
                <c:pt idx="11">
                  <c:v>5.531687637725298E-2</c:v>
                </c:pt>
                <c:pt idx="12">
                  <c:v>4.9175274186455405E-2</c:v>
                </c:pt>
                <c:pt idx="13">
                  <c:v>4.5524875532420427E-2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DBF-4845-A965-A8EC39E02FC5}"/>
            </c:ext>
          </c:extLst>
        </c:ser>
        <c:ser>
          <c:idx val="14"/>
          <c:order val="3"/>
          <c:tx>
            <c:strRef>
              <c:f>Sintesi!$P$2</c:f>
              <c:strCache>
                <c:ptCount val="1"/>
                <c:pt idx="0">
                  <c:v>Efficienza OMP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Sintesi!$I$3:$I$15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Sintesi!$P$3:$P$15</c:f>
              <c:numCache>
                <c:formatCode>General</c:formatCode>
                <c:ptCount val="13"/>
                <c:pt idx="0">
                  <c:v>1</c:v>
                </c:pt>
                <c:pt idx="1">
                  <c:v>0.99731587229358454</c:v>
                </c:pt>
                <c:pt idx="2">
                  <c:v>0.99767344127756208</c:v>
                </c:pt>
                <c:pt idx="3">
                  <c:v>0.99729297271049766</c:v>
                </c:pt>
                <c:pt idx="4">
                  <c:v>0.99659931539374447</c:v>
                </c:pt>
                <c:pt idx="5">
                  <c:v>0.99539616459977009</c:v>
                </c:pt>
                <c:pt idx="6">
                  <c:v>0.99182377348659589</c:v>
                </c:pt>
                <c:pt idx="7">
                  <c:v>0.99126535726738829</c:v>
                </c:pt>
                <c:pt idx="8">
                  <c:v>0.99028056000977038</c:v>
                </c:pt>
                <c:pt idx="9">
                  <c:v>0.98789499874606734</c:v>
                </c:pt>
                <c:pt idx="10">
                  <c:v>0.98122141723373846</c:v>
                </c:pt>
                <c:pt idx="11">
                  <c:v>0.98381698033306753</c:v>
                </c:pt>
                <c:pt idx="12">
                  <c:v>0.97805045012868652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DBF-4845-A965-A8EC39E0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480703"/>
        <c:axId val="412481183"/>
      </c:scatterChart>
      <c:scatterChart>
        <c:scatterStyle val="smoothMarker"/>
        <c:varyColors val="0"/>
        <c:ser>
          <c:idx val="5"/>
          <c:order val="0"/>
          <c:tx>
            <c:strRef>
              <c:f>Sintesi!$G$2</c:f>
              <c:strCache>
                <c:ptCount val="1"/>
                <c:pt idx="0">
                  <c:v>Speedup MPI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Sintesi!$A$3:$A$16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</c:numCache>
            </c:numRef>
          </c:xVal>
          <c:yVal>
            <c:numRef>
              <c:f>Sintesi!$G$3:$G$16</c:f>
              <c:numCache>
                <c:formatCode>General</c:formatCode>
                <c:ptCount val="14"/>
                <c:pt idx="0">
                  <c:v>1</c:v>
                </c:pt>
                <c:pt idx="1">
                  <c:v>1.4872181330746006</c:v>
                </c:pt>
                <c:pt idx="2">
                  <c:v>2.465078670868067</c:v>
                </c:pt>
                <c:pt idx="3">
                  <c:v>2.0751289809319808</c:v>
                </c:pt>
                <c:pt idx="4">
                  <c:v>2.325497132011956</c:v>
                </c:pt>
                <c:pt idx="5">
                  <c:v>2.3664709351910962</c:v>
                </c:pt>
                <c:pt idx="6">
                  <c:v>2.3624817947314303</c:v>
                </c:pt>
                <c:pt idx="7">
                  <c:v>2.405535401631568</c:v>
                </c:pt>
                <c:pt idx="8">
                  <c:v>2.4647396974037967</c:v>
                </c:pt>
                <c:pt idx="9">
                  <c:v>2.5005863701283704</c:v>
                </c:pt>
                <c:pt idx="10">
                  <c:v>2.3784893655856085</c:v>
                </c:pt>
                <c:pt idx="11">
                  <c:v>2.2126750550901191</c:v>
                </c:pt>
                <c:pt idx="12">
                  <c:v>2.1637120642040379</c:v>
                </c:pt>
                <c:pt idx="13">
                  <c:v>2.1851940255561804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DBF-4845-A965-A8EC39E02FC5}"/>
            </c:ext>
          </c:extLst>
        </c:ser>
        <c:ser>
          <c:idx val="13"/>
          <c:order val="2"/>
          <c:tx>
            <c:strRef>
              <c:f>Sintesi!$O$2</c:f>
              <c:strCache>
                <c:ptCount val="1"/>
                <c:pt idx="0">
                  <c:v>Speedup OMP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Sintesi!$I$3:$I$15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Sintesi!$O$3:$O$15</c:f>
              <c:numCache>
                <c:formatCode>General</c:formatCode>
                <c:ptCount val="13"/>
                <c:pt idx="0">
                  <c:v>1</c:v>
                </c:pt>
                <c:pt idx="1">
                  <c:v>3.9892634891743382</c:v>
                </c:pt>
                <c:pt idx="2">
                  <c:v>7.9813875302204966</c:v>
                </c:pt>
                <c:pt idx="3">
                  <c:v>11.967515672525971</c:v>
                </c:pt>
                <c:pt idx="4">
                  <c:v>15.945589046299911</c:v>
                </c:pt>
                <c:pt idx="5">
                  <c:v>19.907923291995402</c:v>
                </c:pt>
                <c:pt idx="6">
                  <c:v>23.803770563678302</c:v>
                </c:pt>
                <c:pt idx="7">
                  <c:v>27.755430003486872</c:v>
                </c:pt>
                <c:pt idx="8">
                  <c:v>31.688977920312652</c:v>
                </c:pt>
                <c:pt idx="9">
                  <c:v>35.564219954858423</c:v>
                </c:pt>
                <c:pt idx="10">
                  <c:v>39.248856689349537</c:v>
                </c:pt>
                <c:pt idx="11">
                  <c:v>43.287947134654971</c:v>
                </c:pt>
                <c:pt idx="12">
                  <c:v>46.946421606176955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DBF-4845-A965-A8EC39E02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757679"/>
        <c:axId val="422754799"/>
      </c:scatterChart>
      <c:valAx>
        <c:axId val="412480703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tasks/threads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1183"/>
        <c:crosses val="autoZero"/>
        <c:crossBetween val="midCat"/>
      </c:valAx>
      <c:valAx>
        <c:axId val="412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7030A0"/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0703"/>
        <c:crosses val="autoZero"/>
        <c:crossBetween val="midCat"/>
      </c:valAx>
      <c:valAx>
        <c:axId val="42275479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FF0000"/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757679"/>
        <c:crosses val="max"/>
        <c:crossBetween val="midCat"/>
      </c:valAx>
      <c:valAx>
        <c:axId val="4227576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2754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Weak scalability MPI vs OMP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2"/>
          <c:order val="1"/>
          <c:tx>
            <c:strRef>
              <c:f>Sintesi!$H$20</c:f>
              <c:strCache>
                <c:ptCount val="1"/>
                <c:pt idx="0">
                  <c:v>Efficienza MPI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Sintesi!$A$21:$A$33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Sintesi!$H$21:$H$33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0.10116278089650872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5.6696203443555936E-2</c:v>
                </c:pt>
                <c:pt idx="11">
                  <c:v>3.216605448403121E-2</c:v>
                </c:pt>
                <c:pt idx="12">
                  <c:v>4.7587704733592327E-2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6B7-46CB-9A7B-3B3DC18B77F5}"/>
            </c:ext>
          </c:extLst>
        </c:ser>
        <c:ser>
          <c:idx val="13"/>
          <c:order val="3"/>
          <c:tx>
            <c:strRef>
              <c:f>Sintesi!$P$20</c:f>
              <c:strCache>
                <c:ptCount val="1"/>
                <c:pt idx="0">
                  <c:v>Efficienza  OMP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Sintesi!$A$21:$A$33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Sintesi!$P$21:$P$33</c:f>
              <c:numCache>
                <c:formatCode>General</c:formatCode>
                <c:ptCount val="13"/>
                <c:pt idx="0">
                  <c:v>1</c:v>
                </c:pt>
                <c:pt idx="1">
                  <c:v>0.98248348939845587</c:v>
                </c:pt>
                <c:pt idx="2">
                  <c:v>0.99537931255268963</c:v>
                </c:pt>
                <c:pt idx="3">
                  <c:v>0.98151684949885543</c:v>
                </c:pt>
                <c:pt idx="4">
                  <c:v>0.99058542413381123</c:v>
                </c:pt>
                <c:pt idx="5">
                  <c:v>0.99113276414427731</c:v>
                </c:pt>
                <c:pt idx="6">
                  <c:v>0.97660466650263578</c:v>
                </c:pt>
                <c:pt idx="7">
                  <c:v>0.97369409996241996</c:v>
                </c:pt>
                <c:pt idx="8">
                  <c:v>0.97506311316464833</c:v>
                </c:pt>
                <c:pt idx="9">
                  <c:v>0.97269902183661139</c:v>
                </c:pt>
                <c:pt idx="10">
                  <c:v>0.97134674962901246</c:v>
                </c:pt>
                <c:pt idx="11">
                  <c:v>0.96816582419065211</c:v>
                </c:pt>
                <c:pt idx="12">
                  <c:v>0.9546305867422652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6B7-46CB-9A7B-3B3DC18B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480703"/>
        <c:axId val="412481183"/>
      </c:scatterChart>
      <c:scatterChart>
        <c:scatterStyle val="smoothMarker"/>
        <c:varyColors val="0"/>
        <c:ser>
          <c:idx val="11"/>
          <c:order val="0"/>
          <c:tx>
            <c:strRef>
              <c:f>Sintesi!$G$20</c:f>
              <c:strCache>
                <c:ptCount val="1"/>
                <c:pt idx="0">
                  <c:v>Speedup MPI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Sintesi!$A$21:$A$33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Sintesi!$G$21:$G$33</c:f>
              <c:numCache>
                <c:formatCode>General</c:formatCode>
                <c:ptCount val="13"/>
                <c:pt idx="0">
                  <c:v>1</c:v>
                </c:pt>
                <c:pt idx="1">
                  <c:v>2.3921270632201805</c:v>
                </c:pt>
                <c:pt idx="2">
                  <c:v>2.0874764241959767</c:v>
                </c:pt>
                <c:pt idx="3">
                  <c:v>2.3173502389418976</c:v>
                </c:pt>
                <c:pt idx="4">
                  <c:v>2.3782471654065036</c:v>
                </c:pt>
                <c:pt idx="5">
                  <c:v>2.4072045148560526</c:v>
                </c:pt>
                <c:pt idx="6">
                  <c:v>2.4279067415162094</c:v>
                </c:pt>
                <c:pt idx="7">
                  <c:v>2.4812612715717348</c:v>
                </c:pt>
                <c:pt idx="8">
                  <c:v>2.4781323800797534</c:v>
                </c:pt>
                <c:pt idx="9">
                  <c:v>2.3751470507393768</c:v>
                </c:pt>
                <c:pt idx="10">
                  <c:v>2.2678481377422375</c:v>
                </c:pt>
                <c:pt idx="11">
                  <c:v>1.4153063972973734</c:v>
                </c:pt>
                <c:pt idx="12">
                  <c:v>2.2842098272124316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6B7-46CB-9A7B-3B3DC18B77F5}"/>
            </c:ext>
          </c:extLst>
        </c:ser>
        <c:ser>
          <c:idx val="6"/>
          <c:order val="2"/>
          <c:tx>
            <c:strRef>
              <c:f>Sintesi!$O$20</c:f>
              <c:strCache>
                <c:ptCount val="1"/>
                <c:pt idx="0">
                  <c:v>Speedup OMP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Sintesi!$A$21:$A$33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xVal>
          <c:yVal>
            <c:numRef>
              <c:f>Sintesi!$O$21:$O$33</c:f>
              <c:numCache>
                <c:formatCode>General</c:formatCode>
                <c:ptCount val="13"/>
                <c:pt idx="0">
                  <c:v>1</c:v>
                </c:pt>
                <c:pt idx="1">
                  <c:v>3.9299339575938235</c:v>
                </c:pt>
                <c:pt idx="2">
                  <c:v>7.9630345004215171</c:v>
                </c:pt>
                <c:pt idx="3">
                  <c:v>11.778202193986266</c:v>
                </c:pt>
                <c:pt idx="4">
                  <c:v>15.84936678614098</c:v>
                </c:pt>
                <c:pt idx="5">
                  <c:v>19.822655282885545</c:v>
                </c:pt>
                <c:pt idx="6">
                  <c:v>23.438511996063259</c:v>
                </c:pt>
                <c:pt idx="7">
                  <c:v>27.26343479894776</c:v>
                </c:pt>
                <c:pt idx="8">
                  <c:v>31.202019621268747</c:v>
                </c:pt>
                <c:pt idx="9">
                  <c:v>35.017164786118009</c:v>
                </c:pt>
                <c:pt idx="10">
                  <c:v>38.8538699851605</c:v>
                </c:pt>
                <c:pt idx="11">
                  <c:v>42.599296264388691</c:v>
                </c:pt>
                <c:pt idx="12">
                  <c:v>45.822268163628728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6B7-46CB-9A7B-3B3DC18B7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063503"/>
        <c:axId val="1642313247"/>
      </c:scatterChart>
      <c:valAx>
        <c:axId val="412480703"/>
        <c:scaling>
          <c:orientation val="minMax"/>
          <c:max val="48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tasks/threads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1183"/>
        <c:crosses val="autoZero"/>
        <c:crossBetween val="midCat"/>
      </c:valAx>
      <c:valAx>
        <c:axId val="41248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7030A0"/>
                    </a:solidFill>
                  </a:rPr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480703"/>
        <c:crosses val="autoZero"/>
        <c:crossBetween val="midCat"/>
      </c:valAx>
      <c:valAx>
        <c:axId val="16423132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rgbClr val="FF0000"/>
                    </a:solidFill>
                  </a:rPr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063503"/>
        <c:crosses val="max"/>
        <c:crossBetween val="midCat"/>
      </c:valAx>
      <c:valAx>
        <c:axId val="3620635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4231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strRef>
              <c:f>'mpi 25nodes'!$G$2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25nodes'!$A$3:$A$15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</c:numCache>
            </c:numRef>
          </c:cat>
          <c:val>
            <c:numRef>
              <c:f>'mpi 25nodes'!$G$3:$G$15</c:f>
              <c:numCache>
                <c:formatCode>General</c:formatCode>
                <c:ptCount val="13"/>
                <c:pt idx="0">
                  <c:v>1</c:v>
                </c:pt>
                <c:pt idx="1">
                  <c:v>1.5012788570577182</c:v>
                </c:pt>
                <c:pt idx="2">
                  <c:v>2.0241944098556948</c:v>
                </c:pt>
                <c:pt idx="3">
                  <c:v>2.4554959645522714</c:v>
                </c:pt>
                <c:pt idx="4">
                  <c:v>2.7594670799211674</c:v>
                </c:pt>
                <c:pt idx="5">
                  <c:v>2.4497924974927487</c:v>
                </c:pt>
                <c:pt idx="6">
                  <c:v>2.3049709222764911</c:v>
                </c:pt>
                <c:pt idx="7">
                  <c:v>2.2576322634479564</c:v>
                </c:pt>
                <c:pt idx="8">
                  <c:v>2.4816519365472782</c:v>
                </c:pt>
                <c:pt idx="9">
                  <c:v>2.4499839590896486</c:v>
                </c:pt>
                <c:pt idx="10">
                  <c:v>2.5053035068116065</c:v>
                </c:pt>
                <c:pt idx="11">
                  <c:v>2.4531509567668803</c:v>
                </c:pt>
                <c:pt idx="12">
                  <c:v>2.5050514019175649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2-4577-BB65-4892BDADE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SPEEDUP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25nodes'!$G$45</c:f>
              <c:strCache>
                <c:ptCount val="1"/>
                <c:pt idx="0">
                  <c:v>Speedup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25nodes'!$G$46:$G$58</c:f>
              <c:numCache>
                <c:formatCode>General</c:formatCode>
                <c:ptCount val="13"/>
                <c:pt idx="0">
                  <c:v>1</c:v>
                </c:pt>
                <c:pt idx="1">
                  <c:v>2.3921270632201805</c:v>
                </c:pt>
                <c:pt idx="2">
                  <c:v>2.0874764241959767</c:v>
                </c:pt>
                <c:pt idx="3">
                  <c:v>2.3173502389418976</c:v>
                </c:pt>
                <c:pt idx="4">
                  <c:v>2.3782471654065036</c:v>
                </c:pt>
                <c:pt idx="5">
                  <c:v>2.4072045148560526</c:v>
                </c:pt>
                <c:pt idx="6">
                  <c:v>2.4279067415162094</c:v>
                </c:pt>
                <c:pt idx="7">
                  <c:v>2.4812612715717348</c:v>
                </c:pt>
                <c:pt idx="8">
                  <c:v>2.4781323800797534</c:v>
                </c:pt>
                <c:pt idx="9">
                  <c:v>2.3751470507393768</c:v>
                </c:pt>
                <c:pt idx="10">
                  <c:v>2.2678481377422375</c:v>
                </c:pt>
                <c:pt idx="11">
                  <c:v>1.4153063972973734</c:v>
                </c:pt>
                <c:pt idx="12">
                  <c:v>2.2842098272124316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F-46BB-93DE-4272FBA9D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MPI - STRONG SCALABILITY N=20000 -</a:t>
            </a:r>
            <a:r>
              <a:rPr lang="en-US" baseline="0"/>
              <a:t> efficienza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'mpi 25nodes'!$H$2</c:f>
              <c:strCache>
                <c:ptCount val="1"/>
                <c:pt idx="0">
                  <c:v>Efficenza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12700">
                <a:solidFill>
                  <a:srgbClr val="7030A0"/>
                </a:solidFill>
              </a:ln>
              <a:effectLst/>
            </c:spPr>
          </c:marker>
          <c:cat>
            <c:numRef>
              <c:f>'mpi 25nodes'!$A$3:$A$15</c:f>
              <c:numCache>
                <c:formatCode>0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20</c:v>
                </c:pt>
                <c:pt idx="12">
                  <c:v>25</c:v>
                </c:pt>
              </c:numCache>
            </c:numRef>
          </c:cat>
          <c:val>
            <c:numRef>
              <c:f>'mpi 25nodes'!$H$3:$H$15</c:f>
              <c:numCache>
                <c:formatCode>General</c:formatCode>
                <c:ptCount val="13"/>
                <c:pt idx="0">
                  <c:v>1</c:v>
                </c:pt>
                <c:pt idx="1">
                  <c:v>0.75063942852885912</c:v>
                </c:pt>
                <c:pt idx="2">
                  <c:v>0.67473146995189826</c:v>
                </c:pt>
                <c:pt idx="3">
                  <c:v>0.61387399113806784</c:v>
                </c:pt>
                <c:pt idx="4">
                  <c:v>0.55189341598423347</c:v>
                </c:pt>
                <c:pt idx="5">
                  <c:v>0.40829874958212481</c:v>
                </c:pt>
                <c:pt idx="6">
                  <c:v>0.329281560325213</c:v>
                </c:pt>
                <c:pt idx="7">
                  <c:v>0.28220403293099455</c:v>
                </c:pt>
                <c:pt idx="8">
                  <c:v>0.2757391040608087</c:v>
                </c:pt>
                <c:pt idx="9">
                  <c:v>0.24499839590896486</c:v>
                </c:pt>
                <c:pt idx="10">
                  <c:v>0.16702023378744044</c:v>
                </c:pt>
                <c:pt idx="11">
                  <c:v>0.12265754783834401</c:v>
                </c:pt>
                <c:pt idx="12">
                  <c:v>0.1002020560767026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C-41BD-B6CD-A314F3767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date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Offset val="100"/>
        <c:baseTimeUnit val="days"/>
      </c:date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MPI - WEAK SCALABILITY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- Efficienza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'mpi 25nodes'!$H$45</c:f>
              <c:strCache>
                <c:ptCount val="1"/>
                <c:pt idx="0">
                  <c:v>Efficenza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cat>
            <c:numRef>
              <c:f>'mpi 25nodes'!$A$46:$A$58</c:f>
              <c:numCache>
                <c:formatCode>General</c:formatCode>
                <c:ptCount val="13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</c:numCache>
            </c:numRef>
          </c:cat>
          <c:val>
            <c:numRef>
              <c:f>'mpi 25nodes'!$H$46:$H$58</c:f>
              <c:numCache>
                <c:formatCode>General</c:formatCode>
                <c:ptCount val="13"/>
                <c:pt idx="0">
                  <c:v>1</c:v>
                </c:pt>
                <c:pt idx="1">
                  <c:v>0.59803176580504513</c:v>
                </c:pt>
                <c:pt idx="2">
                  <c:v>0.26093455302449708</c:v>
                </c:pt>
                <c:pt idx="3">
                  <c:v>0.19311251991182479</c:v>
                </c:pt>
                <c:pt idx="4">
                  <c:v>0.14864044783790648</c:v>
                </c:pt>
                <c:pt idx="5">
                  <c:v>0.12036022574280263</c:v>
                </c:pt>
                <c:pt idx="6">
                  <c:v>0.10116278089650872</c:v>
                </c:pt>
                <c:pt idx="7">
                  <c:v>8.8616473984704819E-2</c:v>
                </c:pt>
                <c:pt idx="8">
                  <c:v>7.7441636877492295E-2</c:v>
                </c:pt>
                <c:pt idx="9">
                  <c:v>6.5976306964982689E-2</c:v>
                </c:pt>
                <c:pt idx="10">
                  <c:v>5.6696203443555936E-2</c:v>
                </c:pt>
                <c:pt idx="11">
                  <c:v>3.216605448403121E-2</c:v>
                </c:pt>
                <c:pt idx="12">
                  <c:v>4.7587704733592327E-2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D-4399-87C9-95E5B4E81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278048"/>
        <c:axId val="1106276128"/>
      </c:lineChart>
      <c:catAx>
        <c:axId val="110627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Number of nodes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blurRad="50800" dist="50800" dir="5400000" sx="172000" sy="172000" algn="ctr" rotWithShape="0">
                    <a:srgbClr val="000000">
                      <a:alpha val="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6128"/>
        <c:crosses val="autoZero"/>
        <c:auto val="0"/>
        <c:lblAlgn val="ctr"/>
        <c:lblOffset val="100"/>
        <c:noMultiLvlLbl val="0"/>
      </c:catAx>
      <c:valAx>
        <c:axId val="1106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Efficienza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78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151280</xdr:colOff>
      <xdr:row>17</xdr:row>
      <xdr:rowOff>60032</xdr:rowOff>
    </xdr:from>
    <xdr:to>
      <xdr:col>10</xdr:col>
      <xdr:colOff>204908</xdr:colOff>
      <xdr:row>36</xdr:row>
      <xdr:rowOff>48826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0DACC-CD8A-4CA3-B17F-009ADB166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136071</xdr:colOff>
      <xdr:row>59</xdr:row>
      <xdr:rowOff>27215</xdr:rowOff>
    </xdr:from>
    <xdr:to>
      <xdr:col>10</xdr:col>
      <xdr:colOff>182495</xdr:colOff>
      <xdr:row>77</xdr:row>
      <xdr:rowOff>16009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1E159C-6589-432C-A794-339F69950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54428</xdr:colOff>
      <xdr:row>17</xdr:row>
      <xdr:rowOff>54428</xdr:rowOff>
    </xdr:from>
    <xdr:to>
      <xdr:col>24</xdr:col>
      <xdr:colOff>352985</xdr:colOff>
      <xdr:row>36</xdr:row>
      <xdr:rowOff>43222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7E6B1-7052-4B1F-992F-1C6CB5ED4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59</xdr:row>
      <xdr:rowOff>68036</xdr:rowOff>
    </xdr:from>
    <xdr:to>
      <xdr:col>25</xdr:col>
      <xdr:colOff>291353</xdr:colOff>
      <xdr:row>77</xdr:row>
      <xdr:rowOff>56830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FC0CAB-C819-43E4-A746-1F1D5628B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136071</xdr:colOff>
      <xdr:row>17</xdr:row>
      <xdr:rowOff>129669</xdr:rowOff>
    </xdr:from>
    <xdr:to>
      <xdr:col>12</xdr:col>
      <xdr:colOff>462803</xdr:colOff>
      <xdr:row>36</xdr:row>
      <xdr:rowOff>118463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B59D22-5F99-4E48-BA27-775EEAB77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136071</xdr:colOff>
      <xdr:row>60</xdr:row>
      <xdr:rowOff>10886</xdr:rowOff>
    </xdr:from>
    <xdr:to>
      <xdr:col>9</xdr:col>
      <xdr:colOff>460081</xdr:colOff>
      <xdr:row>78</xdr:row>
      <xdr:rowOff>190180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E03681-304C-4C6C-A4EE-66405FCFD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122465</xdr:colOff>
      <xdr:row>17</xdr:row>
      <xdr:rowOff>122464</xdr:rowOff>
    </xdr:from>
    <xdr:to>
      <xdr:col>26</xdr:col>
      <xdr:colOff>449197</xdr:colOff>
      <xdr:row>36</xdr:row>
      <xdr:rowOff>111258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DA2BF8-9B0D-4D40-B3CF-B67248156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421821</xdr:colOff>
      <xdr:row>60</xdr:row>
      <xdr:rowOff>54428</xdr:rowOff>
    </xdr:from>
    <xdr:to>
      <xdr:col>24</xdr:col>
      <xdr:colOff>133509</xdr:colOff>
      <xdr:row>79</xdr:row>
      <xdr:rowOff>43222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8975FA-67BF-4521-A2B5-8B3D08A9F0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33</xdr:row>
      <xdr:rowOff>176212</xdr:rowOff>
    </xdr:from>
    <xdr:to>
      <xdr:col>12</xdr:col>
      <xdr:colOff>180975</xdr:colOff>
      <xdr:row>56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BB887-565F-209B-AC9F-A2FCDE92A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579665</xdr:colOff>
      <xdr:row>33</xdr:row>
      <xdr:rowOff>170089</xdr:rowOff>
    </xdr:from>
    <xdr:to>
      <xdr:col>24</xdr:col>
      <xdr:colOff>560615</xdr:colOff>
      <xdr:row>56</xdr:row>
      <xdr:rowOff>127227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BE8C7D-EAA3-42E5-A62D-0EDE6C48C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211893</xdr:colOff>
      <xdr:row>16</xdr:row>
      <xdr:rowOff>170125</xdr:rowOff>
    </xdr:from>
    <xdr:to>
      <xdr:col>10</xdr:col>
      <xdr:colOff>244493</xdr:colOff>
      <xdr:row>35</xdr:row>
      <xdr:rowOff>158919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D98A95-8E8B-40B8-A228-8A5A73D06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522019</xdr:colOff>
      <xdr:row>60</xdr:row>
      <xdr:rowOff>44533</xdr:rowOff>
    </xdr:from>
    <xdr:to>
      <xdr:col>10</xdr:col>
      <xdr:colOff>547415</xdr:colOff>
      <xdr:row>78</xdr:row>
      <xdr:rowOff>33327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CA2E1-3251-49B2-BA19-696DEA2423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24</xdr:col>
      <xdr:colOff>292373</xdr:colOff>
      <xdr:row>35</xdr:row>
      <xdr:rowOff>179294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442154-A1D9-4E36-A75C-45ED40A80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60</xdr:row>
      <xdr:rowOff>0</xdr:rowOff>
    </xdr:from>
    <xdr:to>
      <xdr:col>24</xdr:col>
      <xdr:colOff>285169</xdr:colOff>
      <xdr:row>77</xdr:row>
      <xdr:rowOff>179294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8802F3-9DD4-4D5E-86CE-76556CAD9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088E-EB67-4121-9422-E3E30CA3CF93}">
  <dimension ref="A1:H58"/>
  <sheetViews>
    <sheetView zoomScale="55" zoomScaleNormal="55" workbookViewId="0">
      <selection activeCell="I91" sqref="I91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8" t="s">
        <v>8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14</v>
      </c>
    </row>
    <row r="3" spans="1:8" x14ac:dyDescent="0.25">
      <c r="A3" s="4">
        <v>1</v>
      </c>
      <c r="B3" s="4">
        <v>20000</v>
      </c>
      <c r="C3" s="4">
        <v>7.7433350000000001</v>
      </c>
      <c r="D3" s="4">
        <v>4.6781769999999998</v>
      </c>
      <c r="E3" s="2">
        <f>D3+C3</f>
        <v>12.421512</v>
      </c>
      <c r="F3" s="2">
        <v>1</v>
      </c>
      <c r="G3" s="2">
        <f t="shared" ref="G3" si="0">$D$3/D3</f>
        <v>1</v>
      </c>
      <c r="H3" s="3">
        <f>G3/A3</f>
        <v>1</v>
      </c>
    </row>
    <row r="4" spans="1:8" x14ac:dyDescent="0.25">
      <c r="A4" s="3">
        <v>2</v>
      </c>
      <c r="B4" s="3">
        <v>20000</v>
      </c>
      <c r="C4" s="3">
        <v>7.7977939999999997</v>
      </c>
      <c r="D4" s="3">
        <v>3.1455890000000002</v>
      </c>
      <c r="E4" s="2">
        <f t="shared" ref="E4" si="1">D4+C4</f>
        <v>10.943383000000001</v>
      </c>
      <c r="F4" s="2">
        <v>1</v>
      </c>
      <c r="G4" s="2">
        <f t="shared" ref="G4:G16" si="2">$D$3/D4</f>
        <v>1.4872181330746006</v>
      </c>
      <c r="H4" s="3">
        <f>G4/A4</f>
        <v>0.7436090665373003</v>
      </c>
    </row>
    <row r="5" spans="1:8" x14ac:dyDescent="0.25">
      <c r="A5" s="3">
        <v>4</v>
      </c>
      <c r="B5" s="3">
        <v>20000</v>
      </c>
      <c r="C5" s="3">
        <v>7.7136430000000002</v>
      </c>
      <c r="D5" s="3">
        <v>1.89778</v>
      </c>
      <c r="E5" s="2">
        <f t="shared" ref="E5:E16" si="3">D5+C5</f>
        <v>9.6114230000000003</v>
      </c>
      <c r="F5" s="2">
        <v>1</v>
      </c>
      <c r="G5" s="2">
        <f t="shared" si="2"/>
        <v>2.465078670868067</v>
      </c>
      <c r="H5" s="3">
        <f>G5/A5</f>
        <v>0.61626966771701674</v>
      </c>
    </row>
    <row r="6" spans="1:8" x14ac:dyDescent="0.25">
      <c r="A6" s="4">
        <v>8</v>
      </c>
      <c r="B6" s="4">
        <v>20000</v>
      </c>
      <c r="C6" s="4">
        <v>7.7482530000000001</v>
      </c>
      <c r="D6" s="4">
        <v>2.2544029999999999</v>
      </c>
      <c r="E6" s="2">
        <f t="shared" si="3"/>
        <v>10.002656</v>
      </c>
      <c r="F6" s="2">
        <v>1</v>
      </c>
      <c r="G6" s="2">
        <f t="shared" si="2"/>
        <v>2.0751289809319808</v>
      </c>
      <c r="H6" s="3">
        <f>G6/A6</f>
        <v>0.2593911226164976</v>
      </c>
    </row>
    <row r="7" spans="1:8" x14ac:dyDescent="0.25">
      <c r="A7" s="3">
        <v>12</v>
      </c>
      <c r="B7" s="3">
        <v>20000</v>
      </c>
      <c r="C7" s="3">
        <v>8.0048169999999992</v>
      </c>
      <c r="D7" s="3">
        <v>2.0116890000000001</v>
      </c>
      <c r="E7" s="2">
        <f t="shared" si="3"/>
        <v>10.016506</v>
      </c>
      <c r="F7" s="2">
        <v>1</v>
      </c>
      <c r="G7" s="2">
        <f t="shared" si="2"/>
        <v>2.325497132011956</v>
      </c>
      <c r="H7" s="3">
        <f t="shared" ref="H7:H16" si="4">G7/A7</f>
        <v>0.193791427667663</v>
      </c>
    </row>
    <row r="8" spans="1:8" x14ac:dyDescent="0.25">
      <c r="A8" s="4">
        <v>16</v>
      </c>
      <c r="B8" s="4">
        <v>20000</v>
      </c>
      <c r="C8" s="4">
        <v>7.7592020000000002</v>
      </c>
      <c r="D8" s="4">
        <v>1.976858</v>
      </c>
      <c r="E8" s="2">
        <f t="shared" si="3"/>
        <v>9.7360600000000002</v>
      </c>
      <c r="F8" s="2">
        <v>1</v>
      </c>
      <c r="G8" s="2">
        <f t="shared" si="2"/>
        <v>2.3664709351910962</v>
      </c>
      <c r="H8" s="3">
        <f t="shared" si="4"/>
        <v>0.14790443344944351</v>
      </c>
    </row>
    <row r="9" spans="1:8" x14ac:dyDescent="0.25">
      <c r="A9" s="3">
        <v>20</v>
      </c>
      <c r="B9" s="3">
        <v>20000</v>
      </c>
      <c r="C9" s="3">
        <v>7.759671</v>
      </c>
      <c r="D9" s="3">
        <v>1.9801960000000001</v>
      </c>
      <c r="E9" s="2">
        <f t="shared" si="3"/>
        <v>9.7398670000000003</v>
      </c>
      <c r="F9" s="2">
        <v>1</v>
      </c>
      <c r="G9" s="2">
        <f t="shared" si="2"/>
        <v>2.3624817947314303</v>
      </c>
      <c r="H9" s="3">
        <f t="shared" si="4"/>
        <v>0.11812408973657151</v>
      </c>
    </row>
    <row r="10" spans="1:8" x14ac:dyDescent="0.25">
      <c r="A10" s="4">
        <v>24</v>
      </c>
      <c r="B10" s="4">
        <v>20000</v>
      </c>
      <c r="C10" s="4">
        <v>7.7591929999999998</v>
      </c>
      <c r="D10" s="4">
        <v>1.944755</v>
      </c>
      <c r="E10" s="2">
        <f t="shared" si="3"/>
        <v>9.7039480000000005</v>
      </c>
      <c r="F10" s="2">
        <v>1</v>
      </c>
      <c r="G10" s="2">
        <f t="shared" si="2"/>
        <v>2.405535401631568</v>
      </c>
      <c r="H10" s="3">
        <f t="shared" si="4"/>
        <v>0.10023064173464867</v>
      </c>
    </row>
    <row r="11" spans="1:8" x14ac:dyDescent="0.25">
      <c r="A11" s="3">
        <v>28</v>
      </c>
      <c r="B11" s="3">
        <v>20000</v>
      </c>
      <c r="C11" s="3">
        <v>7.7709390000000003</v>
      </c>
      <c r="D11" s="3">
        <v>1.8980410000000001</v>
      </c>
      <c r="E11" s="2">
        <f t="shared" si="3"/>
        <v>9.6689800000000012</v>
      </c>
      <c r="F11" s="2">
        <v>1</v>
      </c>
      <c r="G11" s="2">
        <f t="shared" si="2"/>
        <v>2.4647396974037967</v>
      </c>
      <c r="H11" s="3">
        <f t="shared" si="4"/>
        <v>8.8026417764421314E-2</v>
      </c>
    </row>
    <row r="12" spans="1:8" x14ac:dyDescent="0.25">
      <c r="A12" s="4">
        <v>32</v>
      </c>
      <c r="B12" s="4">
        <v>20000</v>
      </c>
      <c r="C12" s="4">
        <v>7.7518159999999998</v>
      </c>
      <c r="D12" s="4">
        <v>1.8708320000000001</v>
      </c>
      <c r="E12" s="2">
        <f t="shared" si="3"/>
        <v>9.6226479999999999</v>
      </c>
      <c r="F12" s="2">
        <v>1</v>
      </c>
      <c r="G12" s="2">
        <f t="shared" si="2"/>
        <v>2.5005863701283704</v>
      </c>
      <c r="H12" s="3">
        <f t="shared" si="4"/>
        <v>7.8143324066511574E-2</v>
      </c>
    </row>
    <row r="13" spans="1:8" x14ac:dyDescent="0.25">
      <c r="A13" s="3">
        <v>36</v>
      </c>
      <c r="B13" s="3">
        <v>20000</v>
      </c>
      <c r="C13" s="3">
        <v>7.7976859999999997</v>
      </c>
      <c r="D13" s="3">
        <v>1.966869</v>
      </c>
      <c r="E13" s="2">
        <f t="shared" si="3"/>
        <v>9.7645549999999997</v>
      </c>
      <c r="F13" s="2">
        <v>1</v>
      </c>
      <c r="G13" s="2">
        <f t="shared" si="2"/>
        <v>2.3784893655856085</v>
      </c>
      <c r="H13" s="3">
        <f t="shared" si="4"/>
        <v>6.6069149044044678E-2</v>
      </c>
    </row>
    <row r="14" spans="1:8" x14ac:dyDescent="0.25">
      <c r="A14" s="4">
        <v>40</v>
      </c>
      <c r="B14" s="4">
        <v>20000</v>
      </c>
      <c r="C14" s="4">
        <v>7.9058489999999999</v>
      </c>
      <c r="D14" s="4">
        <v>2.1142629999999998</v>
      </c>
      <c r="E14" s="2">
        <f t="shared" si="3"/>
        <v>10.020111999999999</v>
      </c>
      <c r="F14" s="2">
        <v>1</v>
      </c>
      <c r="G14" s="2">
        <f t="shared" si="2"/>
        <v>2.2126750550901191</v>
      </c>
      <c r="H14" s="3">
        <f t="shared" si="4"/>
        <v>5.531687637725298E-2</v>
      </c>
    </row>
    <row r="15" spans="1:8" x14ac:dyDescent="0.25">
      <c r="A15" s="3">
        <v>44</v>
      </c>
      <c r="B15" s="3">
        <v>20000</v>
      </c>
      <c r="C15" s="3">
        <v>8.1640910000000009</v>
      </c>
      <c r="D15" s="3">
        <v>2.1621069999999998</v>
      </c>
      <c r="E15" s="2">
        <f t="shared" si="3"/>
        <v>10.326198000000002</v>
      </c>
      <c r="F15" s="2">
        <v>1</v>
      </c>
      <c r="G15" s="2">
        <f t="shared" si="2"/>
        <v>2.1637120642040379</v>
      </c>
      <c r="H15" s="3">
        <f t="shared" si="4"/>
        <v>4.9175274186455405E-2</v>
      </c>
    </row>
    <row r="16" spans="1:8" x14ac:dyDescent="0.25">
      <c r="A16" s="4">
        <v>48</v>
      </c>
      <c r="B16" s="4">
        <v>20000</v>
      </c>
      <c r="C16" s="4">
        <v>8.4514239999999994</v>
      </c>
      <c r="D16" s="4">
        <v>2.1408520000000002</v>
      </c>
      <c r="E16" s="2">
        <f t="shared" si="3"/>
        <v>10.592276</v>
      </c>
      <c r="F16" s="2">
        <v>1</v>
      </c>
      <c r="G16" s="2">
        <f t="shared" si="2"/>
        <v>2.1851940255561804</v>
      </c>
      <c r="H16" s="3">
        <f t="shared" si="4"/>
        <v>4.5524875532420427E-2</v>
      </c>
    </row>
    <row r="44" spans="1:8" x14ac:dyDescent="0.25">
      <c r="A44" s="8" t="s">
        <v>9</v>
      </c>
      <c r="B44" s="8"/>
      <c r="C44" s="8"/>
      <c r="D44" s="8"/>
      <c r="E44" s="8"/>
      <c r="F44" s="8"/>
      <c r="G44" s="8"/>
      <c r="H44" s="8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14</v>
      </c>
    </row>
    <row r="46" spans="1:8" x14ac:dyDescent="0.25">
      <c r="A46" s="4">
        <v>1</v>
      </c>
      <c r="B46" s="4">
        <v>2000</v>
      </c>
      <c r="C46" s="4">
        <v>7.7853000000000006E-2</v>
      </c>
      <c r="D46" s="4">
        <v>4.8007000000000001E-2</v>
      </c>
      <c r="E46" s="3">
        <f>D46+C46</f>
        <v>0.12586</v>
      </c>
      <c r="F46" s="4">
        <v>1</v>
      </c>
      <c r="G46" s="3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0.31034</v>
      </c>
      <c r="D47" s="3">
        <v>8.0274999999999999E-2</v>
      </c>
      <c r="E47" s="3">
        <f t="shared" ref="E47:E58" si="5">D47+C47</f>
        <v>0.39061499999999999</v>
      </c>
      <c r="F47" s="4">
        <v>1</v>
      </c>
      <c r="G47" s="3">
        <f t="shared" ref="G47:G58" si="6">$D$46*A47/D47</f>
        <v>2.3921270632201805</v>
      </c>
      <c r="H47" s="3">
        <f>G47/A47</f>
        <v>0.59803176580504513</v>
      </c>
    </row>
    <row r="48" spans="1:8" x14ac:dyDescent="0.25">
      <c r="A48" s="4">
        <v>8</v>
      </c>
      <c r="B48" s="4">
        <v>5657</v>
      </c>
      <c r="C48" s="4">
        <v>0.61943599999999999</v>
      </c>
      <c r="D48" s="4">
        <v>0.18398100000000001</v>
      </c>
      <c r="E48" s="3">
        <f t="shared" si="5"/>
        <v>0.80341700000000005</v>
      </c>
      <c r="F48" s="4">
        <v>1</v>
      </c>
      <c r="G48" s="3">
        <f t="shared" si="6"/>
        <v>2.0874764241959767</v>
      </c>
      <c r="H48" s="3">
        <f t="shared" ref="H48:H58" si="7">G48/A48</f>
        <v>0.26093455302449708</v>
      </c>
    </row>
    <row r="49" spans="1:8" x14ac:dyDescent="0.25">
      <c r="A49" s="3">
        <v>12</v>
      </c>
      <c r="B49" s="3">
        <v>6928</v>
      </c>
      <c r="C49" s="3">
        <v>0.93013900000000005</v>
      </c>
      <c r="D49" s="3">
        <v>0.24859600000000001</v>
      </c>
      <c r="E49" s="3">
        <f t="shared" si="5"/>
        <v>1.1787350000000001</v>
      </c>
      <c r="F49" s="4">
        <v>1</v>
      </c>
      <c r="G49" s="3">
        <f t="shared" si="6"/>
        <v>2.3173502389418976</v>
      </c>
      <c r="H49" s="3">
        <f t="shared" si="7"/>
        <v>0.19311251991182479</v>
      </c>
    </row>
    <row r="50" spans="1:8" x14ac:dyDescent="0.25">
      <c r="A50" s="4">
        <v>16</v>
      </c>
      <c r="B50" s="4">
        <v>8000</v>
      </c>
      <c r="C50" s="4">
        <v>1.241379</v>
      </c>
      <c r="D50" s="4">
        <v>0.32297399999999998</v>
      </c>
      <c r="E50" s="3">
        <f t="shared" si="5"/>
        <v>1.5643530000000001</v>
      </c>
      <c r="F50" s="4">
        <v>1</v>
      </c>
      <c r="G50" s="3">
        <f t="shared" si="6"/>
        <v>2.3782471654065036</v>
      </c>
      <c r="H50" s="3">
        <f t="shared" si="7"/>
        <v>0.14864044783790648</v>
      </c>
    </row>
    <row r="51" spans="1:8" x14ac:dyDescent="0.25">
      <c r="A51" s="3">
        <v>20</v>
      </c>
      <c r="B51" s="3">
        <v>8944</v>
      </c>
      <c r="C51" s="3">
        <v>1.5494619999999999</v>
      </c>
      <c r="D51" s="3">
        <v>0.39886100000000002</v>
      </c>
      <c r="E51" s="3">
        <f t="shared" si="5"/>
        <v>1.9483229999999998</v>
      </c>
      <c r="F51" s="4">
        <v>1</v>
      </c>
      <c r="G51" s="3">
        <f t="shared" si="6"/>
        <v>2.4072045148560526</v>
      </c>
      <c r="H51" s="3">
        <f t="shared" si="7"/>
        <v>0.12036022574280263</v>
      </c>
    </row>
    <row r="52" spans="1:8" x14ac:dyDescent="0.25">
      <c r="A52" s="4">
        <v>24</v>
      </c>
      <c r="B52" s="4">
        <v>9798</v>
      </c>
      <c r="C52" s="4">
        <v>1.860447</v>
      </c>
      <c r="D52" s="4">
        <v>0.47455199999999997</v>
      </c>
      <c r="E52" s="3">
        <f t="shared" si="5"/>
        <v>2.3349989999999998</v>
      </c>
      <c r="F52" s="4">
        <v>1</v>
      </c>
      <c r="G52" s="3">
        <f t="shared" si="6"/>
        <v>2.4279067415162094</v>
      </c>
      <c r="H52" s="3">
        <f t="shared" si="7"/>
        <v>0.10116278089650872</v>
      </c>
    </row>
    <row r="53" spans="1:8" x14ac:dyDescent="0.25">
      <c r="A53" s="3">
        <v>28</v>
      </c>
      <c r="B53" s="3">
        <v>10583</v>
      </c>
      <c r="C53" s="3">
        <v>2.1686359999999998</v>
      </c>
      <c r="D53" s="3">
        <v>0.54173899999999997</v>
      </c>
      <c r="E53" s="3">
        <f t="shared" si="5"/>
        <v>2.710375</v>
      </c>
      <c r="F53" s="4">
        <v>1</v>
      </c>
      <c r="G53" s="3">
        <f t="shared" si="6"/>
        <v>2.4812612715717348</v>
      </c>
      <c r="H53" s="3">
        <f t="shared" si="7"/>
        <v>8.8616473984704819E-2</v>
      </c>
    </row>
    <row r="54" spans="1:8" x14ac:dyDescent="0.25">
      <c r="A54" s="4">
        <v>32</v>
      </c>
      <c r="B54" s="4">
        <v>11314</v>
      </c>
      <c r="C54" s="4">
        <v>2.4806439999999998</v>
      </c>
      <c r="D54" s="4">
        <v>0.61991200000000002</v>
      </c>
      <c r="E54" s="3">
        <f t="shared" si="5"/>
        <v>3.1005560000000001</v>
      </c>
      <c r="F54" s="4">
        <v>1</v>
      </c>
      <c r="G54" s="3">
        <f t="shared" si="6"/>
        <v>2.4781323800797534</v>
      </c>
      <c r="H54" s="3">
        <f t="shared" si="7"/>
        <v>7.7441636877492295E-2</v>
      </c>
    </row>
    <row r="55" spans="1:8" x14ac:dyDescent="0.25">
      <c r="A55" s="3">
        <v>36</v>
      </c>
      <c r="B55" s="3">
        <v>12000</v>
      </c>
      <c r="C55" s="3">
        <v>2.793498</v>
      </c>
      <c r="D55" s="3">
        <v>0.72763999999999995</v>
      </c>
      <c r="E55" s="3">
        <f t="shared" si="5"/>
        <v>3.5211380000000001</v>
      </c>
      <c r="F55" s="4">
        <v>1</v>
      </c>
      <c r="G55" s="3">
        <f t="shared" si="6"/>
        <v>2.3751470507393768</v>
      </c>
      <c r="H55" s="3">
        <f t="shared" si="7"/>
        <v>6.5976306964982689E-2</v>
      </c>
    </row>
    <row r="56" spans="1:8" x14ac:dyDescent="0.25">
      <c r="A56" s="4">
        <v>40</v>
      </c>
      <c r="B56" s="4">
        <v>12649</v>
      </c>
      <c r="C56" s="4">
        <v>3.1280239999999999</v>
      </c>
      <c r="D56" s="4">
        <v>0.84674099999999997</v>
      </c>
      <c r="E56" s="3">
        <f t="shared" si="5"/>
        <v>3.9747649999999997</v>
      </c>
      <c r="F56" s="4">
        <v>1</v>
      </c>
      <c r="G56" s="3">
        <f t="shared" si="6"/>
        <v>2.2678481377422375</v>
      </c>
      <c r="H56" s="3">
        <f t="shared" si="7"/>
        <v>5.6696203443555936E-2</v>
      </c>
    </row>
    <row r="57" spans="1:8" x14ac:dyDescent="0.25">
      <c r="A57" s="3">
        <v>44</v>
      </c>
      <c r="B57" s="3">
        <v>13266</v>
      </c>
      <c r="C57" s="3">
        <v>3.4824459999999999</v>
      </c>
      <c r="D57" s="3">
        <v>1.4924740000000001</v>
      </c>
      <c r="E57" s="3">
        <f t="shared" si="5"/>
        <v>4.97492</v>
      </c>
      <c r="F57" s="4">
        <v>1</v>
      </c>
      <c r="G57" s="3">
        <f t="shared" si="6"/>
        <v>1.4153063972973734</v>
      </c>
      <c r="H57" s="3">
        <f t="shared" si="7"/>
        <v>3.216605448403121E-2</v>
      </c>
    </row>
    <row r="58" spans="1:8" x14ac:dyDescent="0.25">
      <c r="A58" s="4">
        <v>48</v>
      </c>
      <c r="B58" s="4">
        <v>13856</v>
      </c>
      <c r="C58" s="4">
        <v>3.857148</v>
      </c>
      <c r="D58" s="4">
        <v>1.0088109999999999</v>
      </c>
      <c r="E58" s="3">
        <f t="shared" si="5"/>
        <v>4.8659590000000001</v>
      </c>
      <c r="F58" s="4">
        <v>1</v>
      </c>
      <c r="G58" s="3">
        <f t="shared" si="6"/>
        <v>2.2842098272124316</v>
      </c>
      <c r="H58" s="3">
        <f t="shared" si="7"/>
        <v>4.7587704733592327E-2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D6A5-EB90-4136-8D99-0F3D447C08F2}">
  <dimension ref="A1:H58"/>
  <sheetViews>
    <sheetView zoomScale="55" zoomScaleNormal="55" workbookViewId="0">
      <selection activeCell="E85" sqref="E85"/>
    </sheetView>
  </sheetViews>
  <sheetFormatPr defaultRowHeight="15" x14ac:dyDescent="0.25"/>
  <cols>
    <col min="3" max="3" width="19.5703125" customWidth="1"/>
    <col min="4" max="4" width="14.7109375" customWidth="1"/>
    <col min="5" max="5" width="13.5703125" customWidth="1"/>
    <col min="7" max="7" width="13.42578125" customWidth="1"/>
    <col min="8" max="8" width="12" customWidth="1"/>
  </cols>
  <sheetData>
    <row r="1" spans="1:8" x14ac:dyDescent="0.25">
      <c r="A1" s="8" t="s">
        <v>10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14</v>
      </c>
    </row>
    <row r="3" spans="1:8" x14ac:dyDescent="0.25">
      <c r="A3" s="4">
        <v>1</v>
      </c>
      <c r="B3" s="4">
        <v>20000</v>
      </c>
      <c r="C3" s="4">
        <v>4.1449360000000004</v>
      </c>
      <c r="D3" s="4">
        <v>19.979552000000002</v>
      </c>
      <c r="E3" s="2">
        <f>D3+C3</f>
        <v>24.124488000000003</v>
      </c>
      <c r="F3" s="2">
        <v>1</v>
      </c>
      <c r="G3" s="2">
        <f>$D$3/D3</f>
        <v>1</v>
      </c>
      <c r="H3" s="3">
        <f>G3/A3</f>
        <v>1</v>
      </c>
    </row>
    <row r="4" spans="1:8" x14ac:dyDescent="0.25">
      <c r="A4" s="3">
        <v>4</v>
      </c>
      <c r="B4" s="3">
        <v>20000</v>
      </c>
      <c r="C4" s="3">
        <v>4.102913</v>
      </c>
      <c r="D4" s="3">
        <v>5.0083310000000001</v>
      </c>
      <c r="E4" s="2">
        <f t="shared" ref="E4:E15" si="0">D4+C4</f>
        <v>9.1112439999999992</v>
      </c>
      <c r="F4" s="2">
        <v>1</v>
      </c>
      <c r="G4" s="2">
        <f t="shared" ref="G4:G14" si="1">$D$3/D4</f>
        <v>3.9892634891743382</v>
      </c>
      <c r="H4" s="3">
        <f t="shared" ref="H4:H15" si="2">G4/A4</f>
        <v>0.99731587229358454</v>
      </c>
    </row>
    <row r="5" spans="1:8" x14ac:dyDescent="0.25">
      <c r="A5" s="4">
        <v>8</v>
      </c>
      <c r="B5" s="4">
        <v>20000</v>
      </c>
      <c r="C5" s="4">
        <v>4.1146859999999998</v>
      </c>
      <c r="D5" s="4">
        <v>2.5032679999999998</v>
      </c>
      <c r="E5" s="2">
        <f t="shared" si="0"/>
        <v>6.6179539999999992</v>
      </c>
      <c r="F5" s="2">
        <v>1</v>
      </c>
      <c r="G5" s="2">
        <f t="shared" si="1"/>
        <v>7.9813875302204966</v>
      </c>
      <c r="H5" s="3">
        <f t="shared" si="2"/>
        <v>0.99767344127756208</v>
      </c>
    </row>
    <row r="6" spans="1:8" x14ac:dyDescent="0.25">
      <c r="A6" s="3">
        <v>12</v>
      </c>
      <c r="B6" s="3">
        <v>20000</v>
      </c>
      <c r="C6" s="3">
        <v>4.1163150000000002</v>
      </c>
      <c r="D6" s="3">
        <v>1.6694819999999999</v>
      </c>
      <c r="E6" s="2">
        <f t="shared" si="0"/>
        <v>5.7857970000000005</v>
      </c>
      <c r="F6" s="2">
        <v>1</v>
      </c>
      <c r="G6" s="2">
        <f t="shared" si="1"/>
        <v>11.967515672525971</v>
      </c>
      <c r="H6" s="3">
        <f t="shared" si="2"/>
        <v>0.99729297271049766</v>
      </c>
    </row>
    <row r="7" spans="1:8" x14ac:dyDescent="0.25">
      <c r="A7" s="4">
        <v>16</v>
      </c>
      <c r="B7" s="4">
        <v>20000</v>
      </c>
      <c r="C7" s="4">
        <v>4.1054810000000002</v>
      </c>
      <c r="D7" s="4">
        <v>1.252983</v>
      </c>
      <c r="E7" s="2">
        <f t="shared" si="0"/>
        <v>5.3584639999999997</v>
      </c>
      <c r="F7" s="2">
        <v>1</v>
      </c>
      <c r="G7" s="2">
        <f>$D$3/D7</f>
        <v>15.945589046299911</v>
      </c>
      <c r="H7" s="3">
        <f t="shared" si="2"/>
        <v>0.99659931539374447</v>
      </c>
    </row>
    <row r="8" spans="1:8" x14ac:dyDescent="0.25">
      <c r="A8" s="3">
        <v>20</v>
      </c>
      <c r="B8" s="3">
        <v>20000</v>
      </c>
      <c r="C8" s="3">
        <v>4.1019350000000001</v>
      </c>
      <c r="D8" s="3">
        <v>1.003598</v>
      </c>
      <c r="E8" s="2">
        <f t="shared" si="0"/>
        <v>5.1055330000000003</v>
      </c>
      <c r="F8" s="2">
        <v>1</v>
      </c>
      <c r="G8" s="2">
        <f t="shared" si="1"/>
        <v>19.907923291995402</v>
      </c>
      <c r="H8" s="3">
        <f t="shared" si="2"/>
        <v>0.99539616459977009</v>
      </c>
    </row>
    <row r="9" spans="1:8" x14ac:dyDescent="0.25">
      <c r="A9" s="4">
        <v>24</v>
      </c>
      <c r="B9" s="4">
        <v>20000</v>
      </c>
      <c r="C9" s="4">
        <v>4.1029020000000003</v>
      </c>
      <c r="D9" s="4">
        <v>0.83934399999999998</v>
      </c>
      <c r="E9" s="2">
        <f t="shared" si="0"/>
        <v>4.9422459999999999</v>
      </c>
      <c r="F9" s="2">
        <v>1</v>
      </c>
      <c r="G9" s="2">
        <f t="shared" si="1"/>
        <v>23.803770563678302</v>
      </c>
      <c r="H9" s="3">
        <f t="shared" si="2"/>
        <v>0.99182377348659589</v>
      </c>
    </row>
    <row r="10" spans="1:8" x14ac:dyDescent="0.25">
      <c r="A10" s="3">
        <v>28</v>
      </c>
      <c r="B10" s="3">
        <v>20000</v>
      </c>
      <c r="C10" s="3">
        <v>4.0995549999999996</v>
      </c>
      <c r="D10" s="3">
        <v>0.71984300000000001</v>
      </c>
      <c r="E10" s="2">
        <f t="shared" si="0"/>
        <v>4.8193979999999996</v>
      </c>
      <c r="F10" s="2">
        <v>1</v>
      </c>
      <c r="G10" s="2">
        <f t="shared" si="1"/>
        <v>27.755430003486872</v>
      </c>
      <c r="H10" s="3">
        <f t="shared" si="2"/>
        <v>0.99126535726738829</v>
      </c>
    </row>
    <row r="11" spans="1:8" x14ac:dyDescent="0.25">
      <c r="A11" s="4">
        <v>32</v>
      </c>
      <c r="B11" s="4">
        <v>20000</v>
      </c>
      <c r="C11" s="4">
        <v>4.1114259999999998</v>
      </c>
      <c r="D11" s="4">
        <v>0.63048899999999997</v>
      </c>
      <c r="E11" s="2">
        <f t="shared" si="0"/>
        <v>4.7419149999999997</v>
      </c>
      <c r="F11" s="2">
        <v>1</v>
      </c>
      <c r="G11" s="2">
        <f>$D$3/D11</f>
        <v>31.688977920312652</v>
      </c>
      <c r="H11" s="3">
        <f>G11/A11</f>
        <v>0.99028056000977038</v>
      </c>
    </row>
    <row r="12" spans="1:8" x14ac:dyDescent="0.25">
      <c r="A12" s="3">
        <v>36</v>
      </c>
      <c r="B12" s="3">
        <v>20000</v>
      </c>
      <c r="C12" s="3">
        <v>4.127758</v>
      </c>
      <c r="D12" s="3">
        <v>0.56178799999999995</v>
      </c>
      <c r="E12" s="2">
        <f t="shared" si="0"/>
        <v>4.689546</v>
      </c>
      <c r="F12" s="2">
        <v>1</v>
      </c>
      <c r="G12" s="2">
        <f t="shared" si="1"/>
        <v>35.564219954858423</v>
      </c>
      <c r="H12" s="3">
        <f t="shared" si="2"/>
        <v>0.98789499874606734</v>
      </c>
    </row>
    <row r="13" spans="1:8" x14ac:dyDescent="0.25">
      <c r="A13" s="4">
        <v>40</v>
      </c>
      <c r="B13" s="4">
        <v>20000</v>
      </c>
      <c r="C13" s="4">
        <v>4.1234719999999996</v>
      </c>
      <c r="D13" s="4">
        <v>0.50904799999999994</v>
      </c>
      <c r="E13" s="2">
        <f t="shared" si="0"/>
        <v>4.6325199999999995</v>
      </c>
      <c r="F13" s="2">
        <v>1</v>
      </c>
      <c r="G13" s="2">
        <f t="shared" si="1"/>
        <v>39.248856689349537</v>
      </c>
      <c r="H13" s="3">
        <f t="shared" si="2"/>
        <v>0.98122141723373846</v>
      </c>
    </row>
    <row r="14" spans="1:8" x14ac:dyDescent="0.25">
      <c r="A14" s="3">
        <v>44</v>
      </c>
      <c r="B14" s="3">
        <v>20000</v>
      </c>
      <c r="C14" s="3">
        <v>4.1100070000000004</v>
      </c>
      <c r="D14" s="3">
        <v>0.46155000000000002</v>
      </c>
      <c r="E14" s="2">
        <f t="shared" si="0"/>
        <v>4.5715570000000003</v>
      </c>
      <c r="F14" s="2">
        <v>1</v>
      </c>
      <c r="G14" s="2">
        <f t="shared" si="1"/>
        <v>43.287947134654971</v>
      </c>
      <c r="H14" s="3">
        <f t="shared" si="2"/>
        <v>0.98381698033306753</v>
      </c>
    </row>
    <row r="15" spans="1:8" x14ac:dyDescent="0.25">
      <c r="A15" s="4">
        <v>48</v>
      </c>
      <c r="B15" s="4">
        <v>20000</v>
      </c>
      <c r="C15" s="4">
        <v>4.1191149999999999</v>
      </c>
      <c r="D15" s="4">
        <v>0.42558200000000002</v>
      </c>
      <c r="E15" s="2">
        <f t="shared" si="0"/>
        <v>4.5446970000000002</v>
      </c>
      <c r="F15" s="2">
        <v>1</v>
      </c>
      <c r="G15" s="2">
        <f>$D$3/D15</f>
        <v>46.946421606176955</v>
      </c>
      <c r="H15" s="3">
        <f t="shared" si="2"/>
        <v>0.97805045012868652</v>
      </c>
    </row>
    <row r="44" spans="1:8" x14ac:dyDescent="0.25">
      <c r="A44" s="8" t="s">
        <v>11</v>
      </c>
      <c r="B44" s="8"/>
      <c r="C44" s="8"/>
      <c r="D44" s="8"/>
      <c r="E44" s="8"/>
      <c r="F44" s="8"/>
      <c r="G44" s="8"/>
      <c r="H44" s="8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14</v>
      </c>
    </row>
    <row r="46" spans="1:8" x14ac:dyDescent="0.25">
      <c r="A46" s="4">
        <v>1</v>
      </c>
      <c r="B46" s="4">
        <v>2000</v>
      </c>
      <c r="C46" s="4">
        <v>3.9428999999999999E-2</v>
      </c>
      <c r="D46" s="4">
        <v>0.186552</v>
      </c>
      <c r="E46" s="2">
        <f>D46+C46</f>
        <v>0.22598099999999999</v>
      </c>
      <c r="F46" s="2">
        <v>1</v>
      </c>
      <c r="G46" s="2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0.157891</v>
      </c>
      <c r="D47" s="3">
        <v>0.18987799999999999</v>
      </c>
      <c r="E47" s="2">
        <f>D47+C47</f>
        <v>0.34776899999999999</v>
      </c>
      <c r="F47" s="2">
        <v>1</v>
      </c>
      <c r="G47" s="2">
        <f t="shared" ref="G47:G58" si="3">$D$46*A47/D47</f>
        <v>3.9299339575938235</v>
      </c>
      <c r="H47" s="3">
        <f t="shared" ref="H47:H57" si="4">G47/A47</f>
        <v>0.98248348939845587</v>
      </c>
    </row>
    <row r="48" spans="1:8" x14ac:dyDescent="0.25">
      <c r="A48" s="4">
        <v>8</v>
      </c>
      <c r="B48" s="4">
        <v>5657</v>
      </c>
      <c r="C48" s="4">
        <v>0.31903900000000002</v>
      </c>
      <c r="D48" s="4">
        <v>0.187418</v>
      </c>
      <c r="E48" s="2">
        <f>D48+C48</f>
        <v>0.50645700000000005</v>
      </c>
      <c r="F48" s="2">
        <v>1</v>
      </c>
      <c r="G48" s="2">
        <f t="shared" si="3"/>
        <v>7.9630345004215171</v>
      </c>
      <c r="H48" s="3">
        <f t="shared" si="4"/>
        <v>0.99537931255268963</v>
      </c>
    </row>
    <row r="49" spans="1:8" x14ac:dyDescent="0.25">
      <c r="A49" s="3">
        <v>12</v>
      </c>
      <c r="B49" s="3">
        <v>6928</v>
      </c>
      <c r="C49" s="3">
        <v>0.48030899999999999</v>
      </c>
      <c r="D49" s="3">
        <v>0.19006500000000001</v>
      </c>
      <c r="E49" s="2">
        <f t="shared" ref="E49:E58" si="5">D49+C49</f>
        <v>0.67037400000000003</v>
      </c>
      <c r="F49" s="2">
        <v>1</v>
      </c>
      <c r="G49" s="2">
        <f t="shared" si="3"/>
        <v>11.778202193986266</v>
      </c>
      <c r="H49" s="3">
        <f t="shared" si="4"/>
        <v>0.98151684949885543</v>
      </c>
    </row>
    <row r="50" spans="1:8" x14ac:dyDescent="0.25">
      <c r="A50" s="4">
        <v>16</v>
      </c>
      <c r="B50" s="4">
        <v>8000</v>
      </c>
      <c r="C50" s="4">
        <v>0.64014300000000002</v>
      </c>
      <c r="D50" s="4">
        <v>0.18832499999999999</v>
      </c>
      <c r="E50" s="2">
        <f t="shared" si="5"/>
        <v>0.82846799999999998</v>
      </c>
      <c r="F50" s="2">
        <v>1</v>
      </c>
      <c r="G50" s="2">
        <f t="shared" si="3"/>
        <v>15.84936678614098</v>
      </c>
      <c r="H50" s="3">
        <f t="shared" si="4"/>
        <v>0.99058542413381123</v>
      </c>
    </row>
    <row r="51" spans="1:8" x14ac:dyDescent="0.25">
      <c r="A51" s="3">
        <v>20</v>
      </c>
      <c r="B51" s="3">
        <v>8944</v>
      </c>
      <c r="C51" s="3">
        <v>0.80016500000000002</v>
      </c>
      <c r="D51" s="3">
        <v>0.188221</v>
      </c>
      <c r="E51" s="2">
        <f t="shared" si="5"/>
        <v>0.98838599999999999</v>
      </c>
      <c r="F51" s="2">
        <v>1</v>
      </c>
      <c r="G51" s="2">
        <f t="shared" si="3"/>
        <v>19.822655282885545</v>
      </c>
      <c r="H51" s="3">
        <f t="shared" si="4"/>
        <v>0.99113276414427731</v>
      </c>
    </row>
    <row r="52" spans="1:8" x14ac:dyDescent="0.25">
      <c r="A52" s="4">
        <v>24</v>
      </c>
      <c r="B52" s="4">
        <v>9798</v>
      </c>
      <c r="C52" s="4">
        <v>0.96057099999999995</v>
      </c>
      <c r="D52" s="4">
        <v>0.191021</v>
      </c>
      <c r="E52" s="2">
        <f t="shared" si="5"/>
        <v>1.1515919999999999</v>
      </c>
      <c r="F52" s="2">
        <v>1</v>
      </c>
      <c r="G52" s="2">
        <f t="shared" si="3"/>
        <v>23.438511996063259</v>
      </c>
      <c r="H52" s="3">
        <f t="shared" si="4"/>
        <v>0.97660466650263578</v>
      </c>
    </row>
    <row r="53" spans="1:8" x14ac:dyDescent="0.25">
      <c r="A53" s="3">
        <v>28</v>
      </c>
      <c r="B53" s="3">
        <v>10583</v>
      </c>
      <c r="C53" s="3">
        <v>1.1250020000000001</v>
      </c>
      <c r="D53" s="3">
        <v>0.19159200000000001</v>
      </c>
      <c r="E53" s="2">
        <f t="shared" si="5"/>
        <v>1.316594</v>
      </c>
      <c r="F53" s="2">
        <v>1</v>
      </c>
      <c r="G53" s="2">
        <f t="shared" si="3"/>
        <v>27.26343479894776</v>
      </c>
      <c r="H53" s="3">
        <f t="shared" si="4"/>
        <v>0.97369409996241996</v>
      </c>
    </row>
    <row r="54" spans="1:8" x14ac:dyDescent="0.25">
      <c r="A54" s="4">
        <v>32</v>
      </c>
      <c r="B54" s="4">
        <v>11314</v>
      </c>
      <c r="C54" s="4">
        <v>1.284721</v>
      </c>
      <c r="D54" s="4">
        <v>0.19132299999999999</v>
      </c>
      <c r="E54" s="2">
        <f t="shared" si="5"/>
        <v>1.4760439999999999</v>
      </c>
      <c r="F54" s="2">
        <v>1</v>
      </c>
      <c r="G54" s="2">
        <f t="shared" si="3"/>
        <v>31.202019621268747</v>
      </c>
      <c r="H54" s="3">
        <f t="shared" si="4"/>
        <v>0.97506311316464833</v>
      </c>
    </row>
    <row r="55" spans="1:8" x14ac:dyDescent="0.25">
      <c r="A55" s="3">
        <v>36</v>
      </c>
      <c r="B55" s="3">
        <v>12000</v>
      </c>
      <c r="C55" s="3">
        <v>1.446366</v>
      </c>
      <c r="D55" s="3">
        <v>0.19178799999999999</v>
      </c>
      <c r="E55" s="2">
        <f t="shared" si="5"/>
        <v>1.6381540000000001</v>
      </c>
      <c r="F55" s="2">
        <v>1</v>
      </c>
      <c r="G55" s="2">
        <f t="shared" si="3"/>
        <v>35.017164786118009</v>
      </c>
      <c r="H55" s="3">
        <f t="shared" si="4"/>
        <v>0.97269902183661139</v>
      </c>
    </row>
    <row r="56" spans="1:8" x14ac:dyDescent="0.25">
      <c r="A56" s="4">
        <v>40</v>
      </c>
      <c r="B56" s="4">
        <v>12649</v>
      </c>
      <c r="C56" s="4">
        <v>1.606079</v>
      </c>
      <c r="D56" s="4">
        <v>0.192055</v>
      </c>
      <c r="E56" s="2">
        <f t="shared" si="5"/>
        <v>1.7981340000000001</v>
      </c>
      <c r="F56" s="2">
        <v>1</v>
      </c>
      <c r="G56" s="2">
        <f t="shared" si="3"/>
        <v>38.8538699851605</v>
      </c>
      <c r="H56" s="3">
        <f>G56/A56</f>
        <v>0.97134674962901246</v>
      </c>
    </row>
    <row r="57" spans="1:8" x14ac:dyDescent="0.25">
      <c r="A57" s="3">
        <v>44</v>
      </c>
      <c r="B57" s="3">
        <v>13266</v>
      </c>
      <c r="C57" s="3">
        <v>1.7684120000000001</v>
      </c>
      <c r="D57" s="3">
        <v>0.192686</v>
      </c>
      <c r="E57" s="2">
        <f t="shared" si="5"/>
        <v>1.961098</v>
      </c>
      <c r="F57" s="2">
        <v>1</v>
      </c>
      <c r="G57" s="2">
        <f t="shared" si="3"/>
        <v>42.599296264388691</v>
      </c>
      <c r="H57" s="3">
        <f t="shared" si="4"/>
        <v>0.96816582419065211</v>
      </c>
    </row>
    <row r="58" spans="1:8" x14ac:dyDescent="0.25">
      <c r="A58" s="4">
        <v>48</v>
      </c>
      <c r="B58" s="4">
        <v>13856</v>
      </c>
      <c r="C58" s="4">
        <v>1.9299249999999999</v>
      </c>
      <c r="D58" s="4">
        <v>0.19541800000000001</v>
      </c>
      <c r="E58" s="2">
        <f t="shared" si="5"/>
        <v>2.125343</v>
      </c>
      <c r="F58" s="2">
        <v>1</v>
      </c>
      <c r="G58" s="2">
        <f t="shared" si="3"/>
        <v>45.822268163628728</v>
      </c>
      <c r="H58" s="3">
        <f>G58/A58</f>
        <v>0.9546305867422652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71E4-00C7-4018-9512-7C0BD3447ABA}">
  <dimension ref="A1:P33"/>
  <sheetViews>
    <sheetView tabSelected="1" topLeftCell="A17" zoomScaleNormal="100" workbookViewId="0">
      <selection activeCell="R32" sqref="R32"/>
    </sheetView>
  </sheetViews>
  <sheetFormatPr defaultRowHeight="15" x14ac:dyDescent="0.25"/>
  <cols>
    <col min="7" max="8" width="14.140625" customWidth="1"/>
    <col min="11" max="11" width="15.85546875" customWidth="1"/>
    <col min="12" max="12" width="16.7109375" customWidth="1"/>
    <col min="15" max="15" width="13.5703125" customWidth="1"/>
    <col min="16" max="16" width="15.5703125" customWidth="1"/>
  </cols>
  <sheetData>
    <row r="1" spans="1:16" x14ac:dyDescent="0.25">
      <c r="A1" s="9" t="s">
        <v>8</v>
      </c>
      <c r="B1" s="9"/>
      <c r="C1" s="9"/>
      <c r="D1" s="9"/>
      <c r="E1" s="9"/>
      <c r="F1" s="9"/>
      <c r="G1" s="9"/>
      <c r="H1" s="9"/>
      <c r="I1" s="9" t="s">
        <v>10</v>
      </c>
      <c r="J1" s="9"/>
      <c r="K1" s="9"/>
      <c r="L1" s="9"/>
      <c r="M1" s="9"/>
      <c r="N1" s="9"/>
      <c r="O1" s="9"/>
      <c r="P1" s="9"/>
    </row>
    <row r="2" spans="1:16" x14ac:dyDescent="0.25">
      <c r="A2" s="7" t="s">
        <v>0</v>
      </c>
      <c r="B2" s="7" t="s">
        <v>1</v>
      </c>
      <c r="C2" s="7" t="s">
        <v>5</v>
      </c>
      <c r="D2" s="7" t="s">
        <v>6</v>
      </c>
      <c r="E2" s="7" t="s">
        <v>7</v>
      </c>
      <c r="F2" s="7" t="s">
        <v>2</v>
      </c>
      <c r="G2" s="7" t="s">
        <v>12</v>
      </c>
      <c r="H2" s="7" t="s">
        <v>17</v>
      </c>
      <c r="I2" s="7" t="s">
        <v>0</v>
      </c>
      <c r="J2" s="7" t="s">
        <v>1</v>
      </c>
      <c r="K2" s="7" t="s">
        <v>5</v>
      </c>
      <c r="L2" s="7" t="s">
        <v>6</v>
      </c>
      <c r="M2" s="7" t="s">
        <v>7</v>
      </c>
      <c r="N2" s="7" t="s">
        <v>2</v>
      </c>
      <c r="O2" s="7" t="s">
        <v>13</v>
      </c>
      <c r="P2" s="7" t="s">
        <v>15</v>
      </c>
    </row>
    <row r="3" spans="1:16" x14ac:dyDescent="0.25">
      <c r="A3" s="7">
        <v>1</v>
      </c>
      <c r="B3" s="7">
        <v>20000</v>
      </c>
      <c r="C3" s="7">
        <v>7.7433350000000001</v>
      </c>
      <c r="D3" s="7">
        <v>4.6781769999999998</v>
      </c>
      <c r="E3" s="7">
        <v>12.421512</v>
      </c>
      <c r="F3" s="7">
        <v>1</v>
      </c>
      <c r="G3" s="7">
        <v>1</v>
      </c>
      <c r="H3" s="7">
        <v>1</v>
      </c>
      <c r="I3" s="7">
        <v>1</v>
      </c>
      <c r="J3" s="7">
        <v>20000</v>
      </c>
      <c r="K3" s="7">
        <v>4.1449360000000004</v>
      </c>
      <c r="L3" s="7">
        <v>19.979552000000002</v>
      </c>
      <c r="M3" s="7">
        <v>24.124488000000003</v>
      </c>
      <c r="N3" s="7">
        <v>1</v>
      </c>
      <c r="O3" s="7">
        <v>1</v>
      </c>
      <c r="P3" s="7">
        <v>1</v>
      </c>
    </row>
    <row r="4" spans="1:16" x14ac:dyDescent="0.25">
      <c r="A4" s="7">
        <v>2</v>
      </c>
      <c r="B4" s="7">
        <v>20000</v>
      </c>
      <c r="C4" s="7">
        <v>7.7977939999999997</v>
      </c>
      <c r="D4" s="7">
        <v>3.1455890000000002</v>
      </c>
      <c r="E4" s="7">
        <v>10.943383000000001</v>
      </c>
      <c r="F4" s="7">
        <v>1</v>
      </c>
      <c r="G4" s="7">
        <v>1.4872181330746006</v>
      </c>
      <c r="H4" s="7">
        <v>0.7436090665373003</v>
      </c>
      <c r="I4" s="7">
        <v>4</v>
      </c>
      <c r="J4" s="7">
        <v>20000</v>
      </c>
      <c r="K4" s="7">
        <v>4.102913</v>
      </c>
      <c r="L4" s="7">
        <v>5.0083310000000001</v>
      </c>
      <c r="M4" s="7">
        <v>9.1112439999999992</v>
      </c>
      <c r="N4" s="7">
        <v>1</v>
      </c>
      <c r="O4" s="7">
        <v>3.9892634891743382</v>
      </c>
      <c r="P4" s="7">
        <v>0.99731587229358454</v>
      </c>
    </row>
    <row r="5" spans="1:16" x14ac:dyDescent="0.25">
      <c r="A5" s="7">
        <v>4</v>
      </c>
      <c r="B5" s="7">
        <v>20000</v>
      </c>
      <c r="C5" s="7">
        <v>7.7136430000000002</v>
      </c>
      <c r="D5" s="7">
        <v>1.89778</v>
      </c>
      <c r="E5" s="7">
        <v>9.6114230000000003</v>
      </c>
      <c r="F5" s="7">
        <v>1</v>
      </c>
      <c r="G5" s="7">
        <v>2.465078670868067</v>
      </c>
      <c r="H5" s="7">
        <v>0.61626966771701674</v>
      </c>
      <c r="I5" s="7">
        <v>8</v>
      </c>
      <c r="J5" s="7">
        <v>20000</v>
      </c>
      <c r="K5" s="7">
        <v>4.1146859999999998</v>
      </c>
      <c r="L5" s="7">
        <v>2.5032679999999998</v>
      </c>
      <c r="M5" s="7">
        <v>6.6179539999999992</v>
      </c>
      <c r="N5" s="7">
        <v>1</v>
      </c>
      <c r="O5" s="7">
        <v>7.9813875302204966</v>
      </c>
      <c r="P5" s="7">
        <v>0.99767344127756208</v>
      </c>
    </row>
    <row r="6" spans="1:16" x14ac:dyDescent="0.25">
      <c r="A6" s="7">
        <v>8</v>
      </c>
      <c r="B6" s="7">
        <v>20000</v>
      </c>
      <c r="C6" s="7">
        <v>7.7482530000000001</v>
      </c>
      <c r="D6" s="7">
        <v>2.2544029999999999</v>
      </c>
      <c r="E6" s="7">
        <v>10.002656</v>
      </c>
      <c r="F6" s="7">
        <v>1</v>
      </c>
      <c r="G6" s="7">
        <v>2.0751289809319808</v>
      </c>
      <c r="H6" s="7">
        <v>0.2593911226164976</v>
      </c>
      <c r="I6" s="7">
        <v>12</v>
      </c>
      <c r="J6" s="7">
        <v>20000</v>
      </c>
      <c r="K6" s="7">
        <v>4.1163150000000002</v>
      </c>
      <c r="L6" s="7">
        <v>1.6694819999999999</v>
      </c>
      <c r="M6" s="7">
        <v>5.7857970000000005</v>
      </c>
      <c r="N6" s="7">
        <v>1</v>
      </c>
      <c r="O6" s="7">
        <v>11.967515672525971</v>
      </c>
      <c r="P6" s="7">
        <v>0.99729297271049766</v>
      </c>
    </row>
    <row r="7" spans="1:16" x14ac:dyDescent="0.25">
      <c r="A7" s="7">
        <v>12</v>
      </c>
      <c r="B7" s="7">
        <v>20000</v>
      </c>
      <c r="C7" s="7">
        <v>8.0048169999999992</v>
      </c>
      <c r="D7" s="7">
        <v>2.0116890000000001</v>
      </c>
      <c r="E7" s="7">
        <v>10.016506</v>
      </c>
      <c r="F7" s="7">
        <v>1</v>
      </c>
      <c r="G7" s="7">
        <v>2.325497132011956</v>
      </c>
      <c r="H7" s="7">
        <v>0.193791427667663</v>
      </c>
      <c r="I7" s="7">
        <v>16</v>
      </c>
      <c r="J7" s="7">
        <v>20000</v>
      </c>
      <c r="K7" s="7">
        <v>4.1054810000000002</v>
      </c>
      <c r="L7" s="7">
        <v>1.252983</v>
      </c>
      <c r="M7" s="7">
        <v>5.3584639999999997</v>
      </c>
      <c r="N7" s="7">
        <v>1</v>
      </c>
      <c r="O7" s="7">
        <v>15.945589046299911</v>
      </c>
      <c r="P7" s="7">
        <v>0.99659931539374447</v>
      </c>
    </row>
    <row r="8" spans="1:16" x14ac:dyDescent="0.25">
      <c r="A8" s="7">
        <v>16</v>
      </c>
      <c r="B8" s="7">
        <v>20000</v>
      </c>
      <c r="C8" s="7">
        <v>7.7592020000000002</v>
      </c>
      <c r="D8" s="7">
        <v>1.976858</v>
      </c>
      <c r="E8" s="7">
        <v>9.7360600000000002</v>
      </c>
      <c r="F8" s="7">
        <v>1</v>
      </c>
      <c r="G8" s="7">
        <v>2.3664709351910962</v>
      </c>
      <c r="H8" s="7">
        <v>0.14790443344944351</v>
      </c>
      <c r="I8" s="7">
        <v>20</v>
      </c>
      <c r="J8" s="7">
        <v>20000</v>
      </c>
      <c r="K8" s="7">
        <v>4.1019350000000001</v>
      </c>
      <c r="L8" s="7">
        <v>1.003598</v>
      </c>
      <c r="M8" s="7">
        <v>5.1055330000000003</v>
      </c>
      <c r="N8" s="7">
        <v>1</v>
      </c>
      <c r="O8" s="7">
        <v>19.907923291995402</v>
      </c>
      <c r="P8" s="7">
        <v>0.99539616459977009</v>
      </c>
    </row>
    <row r="9" spans="1:16" x14ac:dyDescent="0.25">
      <c r="A9" s="7">
        <v>20</v>
      </c>
      <c r="B9" s="7">
        <v>20000</v>
      </c>
      <c r="C9" s="7">
        <v>7.759671</v>
      </c>
      <c r="D9" s="7">
        <v>1.9801960000000001</v>
      </c>
      <c r="E9" s="7">
        <v>9.7398670000000003</v>
      </c>
      <c r="F9" s="7">
        <v>1</v>
      </c>
      <c r="G9" s="7">
        <v>2.3624817947314303</v>
      </c>
      <c r="H9" s="7">
        <v>0.11812408973657151</v>
      </c>
      <c r="I9" s="7">
        <v>24</v>
      </c>
      <c r="J9" s="7">
        <v>20000</v>
      </c>
      <c r="K9" s="7">
        <v>4.1029020000000003</v>
      </c>
      <c r="L9" s="7">
        <v>0.83934399999999998</v>
      </c>
      <c r="M9" s="7">
        <v>4.9422459999999999</v>
      </c>
      <c r="N9" s="7">
        <v>1</v>
      </c>
      <c r="O9" s="7">
        <v>23.803770563678302</v>
      </c>
      <c r="P9" s="7">
        <v>0.99182377348659589</v>
      </c>
    </row>
    <row r="10" spans="1:16" x14ac:dyDescent="0.25">
      <c r="A10" s="7">
        <v>24</v>
      </c>
      <c r="B10" s="7">
        <v>20000</v>
      </c>
      <c r="C10" s="7">
        <v>7.7591929999999998</v>
      </c>
      <c r="D10" s="7">
        <v>1.944755</v>
      </c>
      <c r="E10" s="7">
        <v>9.7039480000000005</v>
      </c>
      <c r="F10" s="7">
        <v>1</v>
      </c>
      <c r="G10" s="7">
        <v>2.405535401631568</v>
      </c>
      <c r="H10" s="7">
        <v>0.10023064173464867</v>
      </c>
      <c r="I10" s="7">
        <v>28</v>
      </c>
      <c r="J10" s="7">
        <v>20000</v>
      </c>
      <c r="K10" s="7">
        <v>4.0995549999999996</v>
      </c>
      <c r="L10" s="7">
        <v>0.71984300000000001</v>
      </c>
      <c r="M10" s="7">
        <v>4.8193979999999996</v>
      </c>
      <c r="N10" s="7">
        <v>1</v>
      </c>
      <c r="O10" s="7">
        <v>27.755430003486872</v>
      </c>
      <c r="P10" s="7">
        <v>0.99126535726738829</v>
      </c>
    </row>
    <row r="11" spans="1:16" x14ac:dyDescent="0.25">
      <c r="A11" s="7">
        <v>28</v>
      </c>
      <c r="B11" s="7">
        <v>20000</v>
      </c>
      <c r="C11" s="7">
        <v>7.7709390000000003</v>
      </c>
      <c r="D11" s="7">
        <v>1.8980410000000001</v>
      </c>
      <c r="E11" s="7">
        <v>9.6689800000000012</v>
      </c>
      <c r="F11" s="7">
        <v>1</v>
      </c>
      <c r="G11" s="7">
        <v>2.4647396974037967</v>
      </c>
      <c r="H11" s="7">
        <v>8.8026417764421314E-2</v>
      </c>
      <c r="I11" s="7">
        <v>32</v>
      </c>
      <c r="J11" s="7">
        <v>20000</v>
      </c>
      <c r="K11" s="7">
        <v>4.1114259999999998</v>
      </c>
      <c r="L11" s="7">
        <v>0.63048899999999997</v>
      </c>
      <c r="M11" s="7">
        <v>4.7419149999999997</v>
      </c>
      <c r="N11" s="7">
        <v>1</v>
      </c>
      <c r="O11" s="7">
        <v>31.688977920312652</v>
      </c>
      <c r="P11" s="7">
        <v>0.99028056000977038</v>
      </c>
    </row>
    <row r="12" spans="1:16" x14ac:dyDescent="0.25">
      <c r="A12" s="7">
        <v>32</v>
      </c>
      <c r="B12" s="7">
        <v>20000</v>
      </c>
      <c r="C12" s="7">
        <v>7.7518159999999998</v>
      </c>
      <c r="D12" s="7">
        <v>1.8708320000000001</v>
      </c>
      <c r="E12" s="7">
        <v>9.6226479999999999</v>
      </c>
      <c r="F12" s="7">
        <v>1</v>
      </c>
      <c r="G12" s="7">
        <v>2.5005863701283704</v>
      </c>
      <c r="H12" s="7">
        <v>7.8143324066511574E-2</v>
      </c>
      <c r="I12" s="7">
        <v>36</v>
      </c>
      <c r="J12" s="7">
        <v>20000</v>
      </c>
      <c r="K12" s="7">
        <v>4.127758</v>
      </c>
      <c r="L12" s="7">
        <v>0.56178799999999995</v>
      </c>
      <c r="M12" s="7">
        <v>4.689546</v>
      </c>
      <c r="N12" s="7">
        <v>1</v>
      </c>
      <c r="O12" s="7">
        <v>35.564219954858423</v>
      </c>
      <c r="P12" s="7">
        <v>0.98789499874606734</v>
      </c>
    </row>
    <row r="13" spans="1:16" x14ac:dyDescent="0.25">
      <c r="A13" s="7">
        <v>36</v>
      </c>
      <c r="B13" s="7">
        <v>20000</v>
      </c>
      <c r="C13" s="7">
        <v>7.7976859999999997</v>
      </c>
      <c r="D13" s="7">
        <v>1.966869</v>
      </c>
      <c r="E13" s="7">
        <v>9.7645549999999997</v>
      </c>
      <c r="F13" s="7">
        <v>1</v>
      </c>
      <c r="G13" s="7">
        <v>2.3784893655856085</v>
      </c>
      <c r="H13" s="7">
        <v>6.6069149044044678E-2</v>
      </c>
      <c r="I13" s="7">
        <v>40</v>
      </c>
      <c r="J13" s="7">
        <v>20000</v>
      </c>
      <c r="K13" s="7">
        <v>4.1234719999999996</v>
      </c>
      <c r="L13" s="7">
        <v>0.50904799999999994</v>
      </c>
      <c r="M13" s="7">
        <v>4.6325199999999995</v>
      </c>
      <c r="N13" s="7">
        <v>1</v>
      </c>
      <c r="O13" s="7">
        <v>39.248856689349537</v>
      </c>
      <c r="P13" s="7">
        <v>0.98122141723373846</v>
      </c>
    </row>
    <row r="14" spans="1:16" x14ac:dyDescent="0.25">
      <c r="A14" s="7">
        <v>40</v>
      </c>
      <c r="B14" s="7">
        <v>20000</v>
      </c>
      <c r="C14" s="7">
        <v>7.9058489999999999</v>
      </c>
      <c r="D14" s="7">
        <v>2.1142629999999998</v>
      </c>
      <c r="E14" s="7">
        <v>10.020111999999999</v>
      </c>
      <c r="F14" s="7">
        <v>1</v>
      </c>
      <c r="G14" s="7">
        <v>2.2126750550901191</v>
      </c>
      <c r="H14" s="7">
        <v>5.531687637725298E-2</v>
      </c>
      <c r="I14" s="7">
        <v>44</v>
      </c>
      <c r="J14" s="7">
        <v>20000</v>
      </c>
      <c r="K14" s="7">
        <v>4.1100070000000004</v>
      </c>
      <c r="L14" s="7">
        <v>0.46155000000000002</v>
      </c>
      <c r="M14" s="7">
        <v>4.5715570000000003</v>
      </c>
      <c r="N14" s="7">
        <v>1</v>
      </c>
      <c r="O14" s="7">
        <v>43.287947134654971</v>
      </c>
      <c r="P14" s="7">
        <v>0.98381698033306753</v>
      </c>
    </row>
    <row r="15" spans="1:16" x14ac:dyDescent="0.25">
      <c r="A15" s="7">
        <v>44</v>
      </c>
      <c r="B15" s="7">
        <v>20000</v>
      </c>
      <c r="C15" s="7">
        <v>8.1640910000000009</v>
      </c>
      <c r="D15" s="7">
        <v>2.1621069999999998</v>
      </c>
      <c r="E15" s="7">
        <v>10.326198000000002</v>
      </c>
      <c r="F15" s="7">
        <v>1</v>
      </c>
      <c r="G15" s="7">
        <v>2.1637120642040379</v>
      </c>
      <c r="H15" s="7">
        <v>4.9175274186455405E-2</v>
      </c>
      <c r="I15" s="7">
        <v>48</v>
      </c>
      <c r="J15" s="7">
        <v>20000</v>
      </c>
      <c r="K15" s="7">
        <v>4.1191149999999999</v>
      </c>
      <c r="L15" s="7">
        <v>0.42558200000000002</v>
      </c>
      <c r="M15" s="7">
        <v>4.5446970000000002</v>
      </c>
      <c r="N15" s="7">
        <v>1</v>
      </c>
      <c r="O15" s="7">
        <v>46.946421606176955</v>
      </c>
      <c r="P15" s="7">
        <v>0.97805045012868652</v>
      </c>
    </row>
    <row r="16" spans="1:16" x14ac:dyDescent="0.25">
      <c r="A16" s="7">
        <v>48</v>
      </c>
      <c r="B16" s="7">
        <v>20000</v>
      </c>
      <c r="C16" s="7">
        <v>8.4514239999999994</v>
      </c>
      <c r="D16" s="7">
        <v>2.1408520000000002</v>
      </c>
      <c r="E16" s="7">
        <v>10.592276</v>
      </c>
      <c r="F16" s="7">
        <v>1</v>
      </c>
      <c r="G16" s="7">
        <v>2.1851940255561804</v>
      </c>
      <c r="H16" s="7">
        <v>4.5524875532420427E-2</v>
      </c>
    </row>
    <row r="19" spans="1:16" x14ac:dyDescent="0.25">
      <c r="A19" s="9" t="s">
        <v>9</v>
      </c>
      <c r="B19" s="9"/>
      <c r="C19" s="9"/>
      <c r="D19" s="9"/>
      <c r="E19" s="9"/>
      <c r="F19" s="9"/>
      <c r="G19" s="9"/>
      <c r="H19" s="9"/>
      <c r="I19" s="9" t="s">
        <v>11</v>
      </c>
      <c r="J19" s="9"/>
      <c r="K19" s="9"/>
      <c r="L19" s="9"/>
      <c r="M19" s="9"/>
      <c r="N19" s="9"/>
      <c r="O19" s="9"/>
      <c r="P19" s="9"/>
    </row>
    <row r="20" spans="1:16" x14ac:dyDescent="0.25">
      <c r="A20" s="7" t="s">
        <v>0</v>
      </c>
      <c r="B20" s="7" t="s">
        <v>1</v>
      </c>
      <c r="C20" s="7" t="s">
        <v>5</v>
      </c>
      <c r="D20" s="7" t="s">
        <v>6</v>
      </c>
      <c r="E20" s="7" t="s">
        <v>7</v>
      </c>
      <c r="F20" s="7" t="s">
        <v>2</v>
      </c>
      <c r="G20" s="7" t="s">
        <v>12</v>
      </c>
      <c r="H20" s="7" t="s">
        <v>17</v>
      </c>
      <c r="I20" s="7" t="s">
        <v>0</v>
      </c>
      <c r="J20" s="7" t="s">
        <v>1</v>
      </c>
      <c r="K20" s="7" t="s">
        <v>5</v>
      </c>
      <c r="L20" s="7" t="s">
        <v>6</v>
      </c>
      <c r="M20" s="7" t="s">
        <v>7</v>
      </c>
      <c r="N20" s="7" t="s">
        <v>2</v>
      </c>
      <c r="O20" s="7" t="s">
        <v>13</v>
      </c>
      <c r="P20" s="7" t="s">
        <v>16</v>
      </c>
    </row>
    <row r="21" spans="1:16" x14ac:dyDescent="0.25">
      <c r="A21" s="7">
        <v>1</v>
      </c>
      <c r="B21" s="7">
        <v>2000</v>
      </c>
      <c r="C21" s="7">
        <v>7.7853000000000006E-2</v>
      </c>
      <c r="D21" s="7">
        <v>4.8007000000000001E-2</v>
      </c>
      <c r="E21" s="7">
        <v>0.12586</v>
      </c>
      <c r="F21" s="7">
        <v>1</v>
      </c>
      <c r="G21" s="7">
        <v>1</v>
      </c>
      <c r="H21" s="7">
        <v>1</v>
      </c>
      <c r="I21" s="7">
        <v>1</v>
      </c>
      <c r="J21" s="7">
        <v>2000</v>
      </c>
      <c r="K21" s="7">
        <v>3.9428999999999999E-2</v>
      </c>
      <c r="L21" s="7">
        <v>0.186552</v>
      </c>
      <c r="M21" s="7">
        <v>0.22598099999999999</v>
      </c>
      <c r="N21" s="7">
        <v>1</v>
      </c>
      <c r="O21" s="7">
        <v>1</v>
      </c>
      <c r="P21" s="7">
        <v>1</v>
      </c>
    </row>
    <row r="22" spans="1:16" x14ac:dyDescent="0.25">
      <c r="A22" s="7">
        <v>4</v>
      </c>
      <c r="B22" s="7">
        <v>4000</v>
      </c>
      <c r="C22" s="7">
        <v>0.31034</v>
      </c>
      <c r="D22" s="7">
        <v>8.0274999999999999E-2</v>
      </c>
      <c r="E22" s="7">
        <v>0.39061499999999999</v>
      </c>
      <c r="F22" s="7">
        <v>1</v>
      </c>
      <c r="G22" s="7">
        <v>2.3921270632201805</v>
      </c>
      <c r="H22" s="7">
        <v>0.59803176580504513</v>
      </c>
      <c r="I22" s="7">
        <v>4</v>
      </c>
      <c r="J22" s="7">
        <v>4000</v>
      </c>
      <c r="K22" s="7">
        <v>0.157891</v>
      </c>
      <c r="L22" s="7">
        <v>0.18987799999999999</v>
      </c>
      <c r="M22" s="7">
        <v>0.34776899999999999</v>
      </c>
      <c r="N22" s="7">
        <v>1</v>
      </c>
      <c r="O22" s="7">
        <v>3.9299339575938235</v>
      </c>
      <c r="P22" s="7">
        <v>0.98248348939845587</v>
      </c>
    </row>
    <row r="23" spans="1:16" x14ac:dyDescent="0.25">
      <c r="A23" s="7">
        <v>8</v>
      </c>
      <c r="B23" s="7">
        <v>5657</v>
      </c>
      <c r="C23" s="7">
        <v>0.61943599999999999</v>
      </c>
      <c r="D23" s="7">
        <v>0.18398100000000001</v>
      </c>
      <c r="E23" s="7">
        <v>0.80341700000000005</v>
      </c>
      <c r="F23" s="7">
        <v>1</v>
      </c>
      <c r="G23" s="7">
        <v>2.0874764241959767</v>
      </c>
      <c r="H23" s="7">
        <v>0.26093455302449708</v>
      </c>
      <c r="I23" s="7">
        <v>8</v>
      </c>
      <c r="J23" s="7">
        <v>5657</v>
      </c>
      <c r="K23" s="7">
        <v>0.31903900000000002</v>
      </c>
      <c r="L23" s="7">
        <v>0.187418</v>
      </c>
      <c r="M23" s="7">
        <v>0.50645700000000005</v>
      </c>
      <c r="N23" s="7">
        <v>1</v>
      </c>
      <c r="O23" s="7">
        <v>7.9630345004215171</v>
      </c>
      <c r="P23" s="7">
        <v>0.99537931255268963</v>
      </c>
    </row>
    <row r="24" spans="1:16" x14ac:dyDescent="0.25">
      <c r="A24" s="7">
        <v>12</v>
      </c>
      <c r="B24" s="7">
        <v>6928</v>
      </c>
      <c r="C24" s="7">
        <v>0.93013900000000005</v>
      </c>
      <c r="D24" s="7">
        <v>0.24859600000000001</v>
      </c>
      <c r="E24" s="7">
        <v>1.1787350000000001</v>
      </c>
      <c r="F24" s="7">
        <v>1</v>
      </c>
      <c r="G24" s="7">
        <v>2.3173502389418976</v>
      </c>
      <c r="H24" s="7">
        <v>0.19311251991182479</v>
      </c>
      <c r="I24" s="7">
        <v>12</v>
      </c>
      <c r="J24" s="7">
        <v>6928</v>
      </c>
      <c r="K24" s="7">
        <v>0.48030899999999999</v>
      </c>
      <c r="L24" s="7">
        <v>0.19006500000000001</v>
      </c>
      <c r="M24" s="7">
        <v>0.67037400000000003</v>
      </c>
      <c r="N24" s="7">
        <v>1</v>
      </c>
      <c r="O24" s="7">
        <v>11.778202193986266</v>
      </c>
      <c r="P24" s="7">
        <v>0.98151684949885543</v>
      </c>
    </row>
    <row r="25" spans="1:16" x14ac:dyDescent="0.25">
      <c r="A25" s="7">
        <v>16</v>
      </c>
      <c r="B25" s="7">
        <v>8000</v>
      </c>
      <c r="C25" s="7">
        <v>1.241379</v>
      </c>
      <c r="D25" s="7">
        <v>0.32297399999999998</v>
      </c>
      <c r="E25" s="7">
        <v>1.5643530000000001</v>
      </c>
      <c r="F25" s="7">
        <v>1</v>
      </c>
      <c r="G25" s="7">
        <v>2.3782471654065036</v>
      </c>
      <c r="H25" s="7">
        <v>0.14864044783790648</v>
      </c>
      <c r="I25" s="7">
        <v>16</v>
      </c>
      <c r="J25" s="7">
        <v>8000</v>
      </c>
      <c r="K25" s="7">
        <v>0.64014300000000002</v>
      </c>
      <c r="L25" s="7">
        <v>0.18832499999999999</v>
      </c>
      <c r="M25" s="7">
        <v>0.82846799999999998</v>
      </c>
      <c r="N25" s="7">
        <v>1</v>
      </c>
      <c r="O25" s="7">
        <v>15.84936678614098</v>
      </c>
      <c r="P25" s="7">
        <v>0.99058542413381123</v>
      </c>
    </row>
    <row r="26" spans="1:16" x14ac:dyDescent="0.25">
      <c r="A26" s="7">
        <v>20</v>
      </c>
      <c r="B26" s="7">
        <v>8944</v>
      </c>
      <c r="C26" s="7">
        <v>1.5494619999999999</v>
      </c>
      <c r="D26" s="7">
        <v>0.39886100000000002</v>
      </c>
      <c r="E26" s="7">
        <v>1.9483229999999998</v>
      </c>
      <c r="F26" s="7">
        <v>1</v>
      </c>
      <c r="G26" s="7">
        <v>2.4072045148560526</v>
      </c>
      <c r="H26" s="7">
        <v>0.12036022574280263</v>
      </c>
      <c r="I26" s="7">
        <v>20</v>
      </c>
      <c r="J26" s="7">
        <v>8944</v>
      </c>
      <c r="K26" s="7">
        <v>0.80016500000000002</v>
      </c>
      <c r="L26" s="7">
        <v>0.188221</v>
      </c>
      <c r="M26" s="7">
        <v>0.98838599999999999</v>
      </c>
      <c r="N26" s="7">
        <v>1</v>
      </c>
      <c r="O26" s="7">
        <v>19.822655282885545</v>
      </c>
      <c r="P26" s="7">
        <v>0.99113276414427731</v>
      </c>
    </row>
    <row r="27" spans="1:16" x14ac:dyDescent="0.25">
      <c r="A27" s="7">
        <v>24</v>
      </c>
      <c r="B27" s="7">
        <v>9798</v>
      </c>
      <c r="C27" s="7">
        <v>1.860447</v>
      </c>
      <c r="D27" s="7">
        <v>0.47455199999999997</v>
      </c>
      <c r="E27" s="7">
        <v>2.3349989999999998</v>
      </c>
      <c r="F27" s="7">
        <v>1</v>
      </c>
      <c r="G27" s="7">
        <v>2.4279067415162094</v>
      </c>
      <c r="H27" s="7">
        <v>0.10116278089650872</v>
      </c>
      <c r="I27" s="7">
        <v>24</v>
      </c>
      <c r="J27" s="7">
        <v>9798</v>
      </c>
      <c r="K27" s="7">
        <v>0.96057099999999995</v>
      </c>
      <c r="L27" s="7">
        <v>0.191021</v>
      </c>
      <c r="M27" s="7">
        <v>1.1515919999999999</v>
      </c>
      <c r="N27" s="7">
        <v>1</v>
      </c>
      <c r="O27" s="7">
        <v>23.438511996063259</v>
      </c>
      <c r="P27" s="7">
        <v>0.97660466650263578</v>
      </c>
    </row>
    <row r="28" spans="1:16" x14ac:dyDescent="0.25">
      <c r="A28" s="7">
        <v>28</v>
      </c>
      <c r="B28" s="7">
        <v>10583</v>
      </c>
      <c r="C28" s="7">
        <v>2.1686359999999998</v>
      </c>
      <c r="D28" s="7">
        <v>0.54173899999999997</v>
      </c>
      <c r="E28" s="7">
        <v>2.710375</v>
      </c>
      <c r="F28" s="7">
        <v>1</v>
      </c>
      <c r="G28" s="7">
        <v>2.4812612715717348</v>
      </c>
      <c r="H28" s="7">
        <v>8.8616473984704819E-2</v>
      </c>
      <c r="I28" s="7">
        <v>28</v>
      </c>
      <c r="J28" s="7">
        <v>10583</v>
      </c>
      <c r="K28" s="7">
        <v>1.1250020000000001</v>
      </c>
      <c r="L28" s="7">
        <v>0.19159200000000001</v>
      </c>
      <c r="M28" s="7">
        <v>1.316594</v>
      </c>
      <c r="N28" s="7">
        <v>1</v>
      </c>
      <c r="O28" s="7">
        <v>27.26343479894776</v>
      </c>
      <c r="P28" s="7">
        <v>0.97369409996241996</v>
      </c>
    </row>
    <row r="29" spans="1:16" x14ac:dyDescent="0.25">
      <c r="A29" s="7">
        <v>32</v>
      </c>
      <c r="B29" s="7">
        <v>11314</v>
      </c>
      <c r="C29" s="7">
        <v>2.4806439999999998</v>
      </c>
      <c r="D29" s="7">
        <v>0.61991200000000002</v>
      </c>
      <c r="E29" s="7">
        <v>3.1005560000000001</v>
      </c>
      <c r="F29" s="7">
        <v>1</v>
      </c>
      <c r="G29" s="7">
        <v>2.4781323800797534</v>
      </c>
      <c r="H29" s="7">
        <v>7.7441636877492295E-2</v>
      </c>
      <c r="I29" s="7">
        <v>32</v>
      </c>
      <c r="J29" s="7">
        <v>11314</v>
      </c>
      <c r="K29" s="7">
        <v>1.284721</v>
      </c>
      <c r="L29" s="7">
        <v>0.19132299999999999</v>
      </c>
      <c r="M29" s="7">
        <v>1.4760439999999999</v>
      </c>
      <c r="N29" s="7">
        <v>1</v>
      </c>
      <c r="O29" s="7">
        <v>31.202019621268747</v>
      </c>
      <c r="P29" s="7">
        <v>0.97506311316464833</v>
      </c>
    </row>
    <row r="30" spans="1:16" x14ac:dyDescent="0.25">
      <c r="A30" s="7">
        <v>36</v>
      </c>
      <c r="B30" s="7">
        <v>12000</v>
      </c>
      <c r="C30" s="7">
        <v>2.793498</v>
      </c>
      <c r="D30" s="7">
        <v>0.72763999999999995</v>
      </c>
      <c r="E30" s="7">
        <v>3.5211380000000001</v>
      </c>
      <c r="F30" s="7">
        <v>1</v>
      </c>
      <c r="G30" s="7">
        <v>2.3751470507393768</v>
      </c>
      <c r="H30" s="7">
        <v>6.5976306964982689E-2</v>
      </c>
      <c r="I30" s="7">
        <v>36</v>
      </c>
      <c r="J30" s="7">
        <v>12000</v>
      </c>
      <c r="K30" s="7">
        <v>1.446366</v>
      </c>
      <c r="L30" s="7">
        <v>0.19178799999999999</v>
      </c>
      <c r="M30" s="7">
        <v>1.6381540000000001</v>
      </c>
      <c r="N30" s="7">
        <v>1</v>
      </c>
      <c r="O30" s="7">
        <v>35.017164786118009</v>
      </c>
      <c r="P30" s="7">
        <v>0.97269902183661139</v>
      </c>
    </row>
    <row r="31" spans="1:16" x14ac:dyDescent="0.25">
      <c r="A31" s="7">
        <v>40</v>
      </c>
      <c r="B31" s="7">
        <v>12649</v>
      </c>
      <c r="C31" s="7">
        <v>3.1280239999999999</v>
      </c>
      <c r="D31" s="7">
        <v>0.84674099999999997</v>
      </c>
      <c r="E31" s="7">
        <v>3.9747649999999997</v>
      </c>
      <c r="F31" s="7">
        <v>1</v>
      </c>
      <c r="G31" s="7">
        <v>2.2678481377422375</v>
      </c>
      <c r="H31" s="7">
        <v>5.6696203443555936E-2</v>
      </c>
      <c r="I31" s="7">
        <v>40</v>
      </c>
      <c r="J31" s="7">
        <v>12649</v>
      </c>
      <c r="K31" s="7">
        <v>1.606079</v>
      </c>
      <c r="L31" s="7">
        <v>0.192055</v>
      </c>
      <c r="M31" s="7">
        <v>1.7981340000000001</v>
      </c>
      <c r="N31" s="7">
        <v>1</v>
      </c>
      <c r="O31" s="7">
        <v>38.8538699851605</v>
      </c>
      <c r="P31" s="7">
        <v>0.97134674962901246</v>
      </c>
    </row>
    <row r="32" spans="1:16" x14ac:dyDescent="0.25">
      <c r="A32" s="7">
        <v>44</v>
      </c>
      <c r="B32" s="7">
        <v>13266</v>
      </c>
      <c r="C32" s="7">
        <v>3.4824459999999999</v>
      </c>
      <c r="D32" s="7">
        <v>1.4924740000000001</v>
      </c>
      <c r="E32" s="7">
        <v>4.97492</v>
      </c>
      <c r="F32" s="7">
        <v>1</v>
      </c>
      <c r="G32" s="7">
        <v>1.4153063972973734</v>
      </c>
      <c r="H32" s="7">
        <v>3.216605448403121E-2</v>
      </c>
      <c r="I32" s="7">
        <v>44</v>
      </c>
      <c r="J32" s="7">
        <v>13266</v>
      </c>
      <c r="K32" s="7">
        <v>1.7684120000000001</v>
      </c>
      <c r="L32" s="7">
        <v>0.192686</v>
      </c>
      <c r="M32" s="7">
        <v>1.961098</v>
      </c>
      <c r="N32" s="7">
        <v>1</v>
      </c>
      <c r="O32" s="7">
        <v>42.599296264388691</v>
      </c>
      <c r="P32" s="7">
        <v>0.96816582419065211</v>
      </c>
    </row>
    <row r="33" spans="1:16" x14ac:dyDescent="0.25">
      <c r="A33" s="7">
        <v>48</v>
      </c>
      <c r="B33" s="7">
        <v>13856</v>
      </c>
      <c r="C33" s="7">
        <v>3.857148</v>
      </c>
      <c r="D33" s="7">
        <v>1.0088109999999999</v>
      </c>
      <c r="E33" s="7">
        <v>4.8659590000000001</v>
      </c>
      <c r="F33" s="7">
        <v>1</v>
      </c>
      <c r="G33" s="7">
        <v>2.2842098272124316</v>
      </c>
      <c r="H33" s="7">
        <v>4.7587704733592327E-2</v>
      </c>
      <c r="I33" s="7">
        <v>48</v>
      </c>
      <c r="J33" s="7">
        <v>13856</v>
      </c>
      <c r="K33" s="7">
        <v>1.9299249999999999</v>
      </c>
      <c r="L33" s="7">
        <v>0.19541800000000001</v>
      </c>
      <c r="M33" s="7">
        <v>2.125343</v>
      </c>
      <c r="N33" s="7">
        <v>1</v>
      </c>
      <c r="O33" s="7">
        <v>45.822268163628728</v>
      </c>
      <c r="P33" s="7">
        <v>0.9546305867422652</v>
      </c>
    </row>
  </sheetData>
  <mergeCells count="4">
    <mergeCell ref="A1:H1"/>
    <mergeCell ref="I1:P1"/>
    <mergeCell ref="A19:H19"/>
    <mergeCell ref="I19:P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CC7D-E74D-42F9-B22B-A0557A026096}">
  <dimension ref="A1:H58"/>
  <sheetViews>
    <sheetView zoomScale="55" zoomScaleNormal="55" workbookViewId="0">
      <selection activeCell="J89" sqref="J89"/>
    </sheetView>
  </sheetViews>
  <sheetFormatPr defaultRowHeight="15" x14ac:dyDescent="0.25"/>
  <cols>
    <col min="3" max="3" width="17.7109375" customWidth="1"/>
    <col min="4" max="4" width="14.85546875" customWidth="1"/>
    <col min="5" max="5" width="12" customWidth="1"/>
    <col min="6" max="6" width="8.140625" customWidth="1"/>
    <col min="7" max="7" width="12" customWidth="1"/>
    <col min="8" max="8" width="12.140625" customWidth="1"/>
  </cols>
  <sheetData>
    <row r="1" spans="1:8" x14ac:dyDescent="0.25">
      <c r="A1" s="8" t="s">
        <v>8</v>
      </c>
      <c r="B1" s="8"/>
      <c r="C1" s="8"/>
      <c r="D1" s="8"/>
      <c r="E1" s="8"/>
      <c r="F1" s="8"/>
      <c r="G1" s="8"/>
      <c r="H1" s="8"/>
    </row>
    <row r="2" spans="1:8" x14ac:dyDescent="0.25">
      <c r="A2" s="1" t="s">
        <v>0</v>
      </c>
      <c r="B2" s="1" t="s">
        <v>1</v>
      </c>
      <c r="C2" s="1" t="s">
        <v>5</v>
      </c>
      <c r="D2" s="1" t="s">
        <v>6</v>
      </c>
      <c r="E2" s="1" t="s">
        <v>7</v>
      </c>
      <c r="F2" s="1" t="s">
        <v>2</v>
      </c>
      <c r="G2" s="1" t="s">
        <v>3</v>
      </c>
      <c r="H2" s="1" t="s">
        <v>4</v>
      </c>
    </row>
    <row r="3" spans="1:8" x14ac:dyDescent="0.25">
      <c r="A3" s="6">
        <v>1</v>
      </c>
      <c r="B3" s="2">
        <v>20000</v>
      </c>
      <c r="C3" s="2">
        <v>7.8233050000000004</v>
      </c>
      <c r="D3" s="2">
        <v>5.0783880000000003</v>
      </c>
      <c r="E3" s="2">
        <f>D3+C3</f>
        <v>12.901693000000002</v>
      </c>
      <c r="F3" s="2">
        <v>1</v>
      </c>
      <c r="G3" s="2">
        <f t="shared" ref="G3:G15" si="0">$D$3/D3</f>
        <v>1</v>
      </c>
      <c r="H3" s="3">
        <f>G3/A3</f>
        <v>1</v>
      </c>
    </row>
    <row r="4" spans="1:8" x14ac:dyDescent="0.25">
      <c r="A4" s="6">
        <v>2</v>
      </c>
      <c r="B4" s="2">
        <v>20000</v>
      </c>
      <c r="C4" s="2">
        <v>7.8280799999999999</v>
      </c>
      <c r="D4" s="2">
        <v>3.382708</v>
      </c>
      <c r="E4" s="2">
        <f t="shared" ref="E4:E15" si="1">D4+C4</f>
        <v>11.210788000000001</v>
      </c>
      <c r="F4" s="2">
        <v>2</v>
      </c>
      <c r="G4" s="2">
        <f t="shared" si="0"/>
        <v>1.5012788570577182</v>
      </c>
      <c r="H4" s="3">
        <f>G4/A4</f>
        <v>0.75063942852885912</v>
      </c>
    </row>
    <row r="5" spans="1:8" x14ac:dyDescent="0.25">
      <c r="A5" s="6">
        <v>3</v>
      </c>
      <c r="B5" s="2">
        <v>20000</v>
      </c>
      <c r="C5" s="2">
        <v>7.8247689999999999</v>
      </c>
      <c r="D5" s="2">
        <v>2.5088439999999999</v>
      </c>
      <c r="E5" s="2">
        <f t="shared" si="1"/>
        <v>10.333613</v>
      </c>
      <c r="F5" s="2">
        <v>3</v>
      </c>
      <c r="G5" s="2">
        <f t="shared" si="0"/>
        <v>2.0241944098556948</v>
      </c>
      <c r="H5" s="3">
        <f>G5/A5</f>
        <v>0.67473146995189826</v>
      </c>
    </row>
    <row r="6" spans="1:8" x14ac:dyDescent="0.25">
      <c r="A6" s="6">
        <v>4</v>
      </c>
      <c r="B6" s="2">
        <v>20000</v>
      </c>
      <c r="C6" s="2">
        <v>7.8250570000000002</v>
      </c>
      <c r="D6" s="2">
        <v>2.0681720000000001</v>
      </c>
      <c r="E6" s="2">
        <f t="shared" si="1"/>
        <v>9.8932289999999998</v>
      </c>
      <c r="F6" s="2">
        <v>4</v>
      </c>
      <c r="G6" s="2">
        <f t="shared" si="0"/>
        <v>2.4554959645522714</v>
      </c>
      <c r="H6" s="3">
        <f t="shared" ref="H6:H15" si="2">G6/A6</f>
        <v>0.61387399113806784</v>
      </c>
    </row>
    <row r="7" spans="1:8" x14ac:dyDescent="0.25">
      <c r="A7" s="6">
        <v>5</v>
      </c>
      <c r="B7" s="2">
        <v>20000</v>
      </c>
      <c r="C7" s="2">
        <v>7.855334</v>
      </c>
      <c r="D7" s="2">
        <v>1.8403510000000001</v>
      </c>
      <c r="E7" s="2">
        <f t="shared" si="1"/>
        <v>9.695685000000001</v>
      </c>
      <c r="F7" s="2">
        <v>5</v>
      </c>
      <c r="G7" s="2">
        <f t="shared" si="0"/>
        <v>2.7594670799211674</v>
      </c>
      <c r="H7" s="3">
        <f t="shared" si="2"/>
        <v>0.55189341598423347</v>
      </c>
    </row>
    <row r="8" spans="1:8" x14ac:dyDescent="0.25">
      <c r="A8" s="6">
        <v>6</v>
      </c>
      <c r="B8" s="2">
        <v>20000</v>
      </c>
      <c r="C8" s="2">
        <v>7.8204099999999999</v>
      </c>
      <c r="D8" s="2">
        <v>2.0729869999999999</v>
      </c>
      <c r="E8" s="2">
        <f t="shared" si="1"/>
        <v>9.8933970000000002</v>
      </c>
      <c r="F8" s="2">
        <v>6</v>
      </c>
      <c r="G8" s="2">
        <f t="shared" si="0"/>
        <v>2.4497924974927487</v>
      </c>
      <c r="H8" s="3">
        <f t="shared" si="2"/>
        <v>0.40829874958212481</v>
      </c>
    </row>
    <row r="9" spans="1:8" x14ac:dyDescent="0.25">
      <c r="A9" s="6">
        <v>7</v>
      </c>
      <c r="B9" s="2">
        <v>20000</v>
      </c>
      <c r="C9" s="2">
        <v>7.8239280000000004</v>
      </c>
      <c r="D9" s="2">
        <v>2.203233</v>
      </c>
      <c r="E9" s="2">
        <f t="shared" si="1"/>
        <v>10.027161</v>
      </c>
      <c r="F9" s="2">
        <v>7</v>
      </c>
      <c r="G9" s="2">
        <f t="shared" si="0"/>
        <v>2.3049709222764911</v>
      </c>
      <c r="H9" s="3">
        <f t="shared" si="2"/>
        <v>0.329281560325213</v>
      </c>
    </row>
    <row r="10" spans="1:8" x14ac:dyDescent="0.25">
      <c r="A10" s="6">
        <v>8</v>
      </c>
      <c r="B10" s="2">
        <v>20000</v>
      </c>
      <c r="C10" s="2">
        <v>7.8255949999999999</v>
      </c>
      <c r="D10" s="2">
        <v>2.249431</v>
      </c>
      <c r="E10" s="2">
        <f t="shared" si="1"/>
        <v>10.075025999999999</v>
      </c>
      <c r="F10" s="2">
        <v>8</v>
      </c>
      <c r="G10" s="2">
        <f t="shared" si="0"/>
        <v>2.2576322634479564</v>
      </c>
      <c r="H10" s="3">
        <f t="shared" si="2"/>
        <v>0.28220403293099455</v>
      </c>
    </row>
    <row r="11" spans="1:8" x14ac:dyDescent="0.25">
      <c r="A11" s="6">
        <v>9</v>
      </c>
      <c r="B11" s="2">
        <v>20000</v>
      </c>
      <c r="C11" s="2">
        <v>7.8246260000000003</v>
      </c>
      <c r="D11" s="2">
        <v>2.0463740000000001</v>
      </c>
      <c r="E11" s="2">
        <f t="shared" si="1"/>
        <v>9.8710000000000004</v>
      </c>
      <c r="F11" s="2">
        <v>9</v>
      </c>
      <c r="G11" s="2">
        <f t="shared" si="0"/>
        <v>2.4816519365472782</v>
      </c>
      <c r="H11" s="3">
        <f t="shared" si="2"/>
        <v>0.2757391040608087</v>
      </c>
    </row>
    <row r="12" spans="1:8" x14ac:dyDescent="0.25">
      <c r="A12" s="6">
        <v>10</v>
      </c>
      <c r="B12" s="2">
        <v>20000</v>
      </c>
      <c r="C12" s="2">
        <v>7.8217080000000001</v>
      </c>
      <c r="D12" s="2">
        <v>2.0728249999999999</v>
      </c>
      <c r="E12" s="2">
        <f t="shared" si="1"/>
        <v>9.8945329999999991</v>
      </c>
      <c r="F12" s="2">
        <v>10</v>
      </c>
      <c r="G12" s="2">
        <f t="shared" si="0"/>
        <v>2.4499839590896486</v>
      </c>
      <c r="H12" s="3">
        <f t="shared" si="2"/>
        <v>0.24499839590896486</v>
      </c>
    </row>
    <row r="13" spans="1:8" x14ac:dyDescent="0.25">
      <c r="A13" s="6">
        <v>15</v>
      </c>
      <c r="B13" s="2">
        <v>20000</v>
      </c>
      <c r="C13" s="2">
        <v>7.8151109999999999</v>
      </c>
      <c r="D13" s="2">
        <v>2.0270549999999998</v>
      </c>
      <c r="E13" s="2">
        <f t="shared" si="1"/>
        <v>9.8421659999999989</v>
      </c>
      <c r="F13" s="2">
        <v>15</v>
      </c>
      <c r="G13" s="2">
        <f t="shared" si="0"/>
        <v>2.5053035068116065</v>
      </c>
      <c r="H13" s="3">
        <f t="shared" si="2"/>
        <v>0.16702023378744044</v>
      </c>
    </row>
    <row r="14" spans="1:8" x14ac:dyDescent="0.25">
      <c r="A14" s="6">
        <v>20</v>
      </c>
      <c r="B14" s="2">
        <v>20000</v>
      </c>
      <c r="C14" s="2">
        <v>7.8265219999999998</v>
      </c>
      <c r="D14" s="2">
        <v>2.0701489999999998</v>
      </c>
      <c r="E14" s="2">
        <f t="shared" si="1"/>
        <v>9.8966709999999996</v>
      </c>
      <c r="F14" s="2">
        <v>20</v>
      </c>
      <c r="G14" s="2">
        <f t="shared" si="0"/>
        <v>2.4531509567668803</v>
      </c>
      <c r="H14" s="3">
        <f t="shared" si="2"/>
        <v>0.12265754783834401</v>
      </c>
    </row>
    <row r="15" spans="1:8" x14ac:dyDescent="0.25">
      <c r="A15" s="6">
        <v>25</v>
      </c>
      <c r="B15" s="2">
        <v>20000</v>
      </c>
      <c r="C15" s="2">
        <v>7.8210160000000002</v>
      </c>
      <c r="D15" s="2">
        <v>2.0272589999999999</v>
      </c>
      <c r="E15" s="2">
        <f t="shared" si="1"/>
        <v>9.848275000000001</v>
      </c>
      <c r="F15" s="2">
        <v>25</v>
      </c>
      <c r="G15" s="2">
        <f t="shared" si="0"/>
        <v>2.5050514019175649</v>
      </c>
      <c r="H15" s="3">
        <f t="shared" si="2"/>
        <v>0.1002020560767026</v>
      </c>
    </row>
    <row r="16" spans="1:8" x14ac:dyDescent="0.25">
      <c r="A16" s="5"/>
      <c r="B16" s="5"/>
      <c r="C16" s="5"/>
      <c r="D16" s="5"/>
      <c r="E16" s="5"/>
      <c r="F16" s="5"/>
      <c r="G16" s="5"/>
    </row>
    <row r="44" spans="1:8" x14ac:dyDescent="0.25">
      <c r="A44" s="8" t="s">
        <v>9</v>
      </c>
      <c r="B44" s="8"/>
      <c r="C44" s="8"/>
      <c r="D44" s="8"/>
      <c r="E44" s="8"/>
      <c r="F44" s="8"/>
      <c r="G44" s="8"/>
      <c r="H44" s="8"/>
    </row>
    <row r="45" spans="1:8" x14ac:dyDescent="0.25">
      <c r="A45" s="1" t="s">
        <v>0</v>
      </c>
      <c r="B45" s="1" t="s">
        <v>1</v>
      </c>
      <c r="C45" s="1" t="s">
        <v>5</v>
      </c>
      <c r="D45" s="1" t="s">
        <v>6</v>
      </c>
      <c r="E45" s="1" t="s">
        <v>7</v>
      </c>
      <c r="F45" s="1" t="s">
        <v>2</v>
      </c>
      <c r="G45" s="1" t="s">
        <v>3</v>
      </c>
      <c r="H45" s="1" t="s">
        <v>4</v>
      </c>
    </row>
    <row r="46" spans="1:8" x14ac:dyDescent="0.25">
      <c r="A46" s="4">
        <v>1</v>
      </c>
      <c r="B46" s="4">
        <v>2000</v>
      </c>
      <c r="C46" s="4">
        <v>7.7853000000000006E-2</v>
      </c>
      <c r="D46" s="4">
        <v>4.8007000000000001E-2</v>
      </c>
      <c r="E46" s="3">
        <f>D46+C46</f>
        <v>0.12586</v>
      </c>
      <c r="F46" s="4">
        <v>1</v>
      </c>
      <c r="G46" s="3">
        <f>$D$46*A46/D46</f>
        <v>1</v>
      </c>
      <c r="H46" s="3">
        <f>G46/A46</f>
        <v>1</v>
      </c>
    </row>
    <row r="47" spans="1:8" x14ac:dyDescent="0.25">
      <c r="A47" s="3">
        <v>4</v>
      </c>
      <c r="B47" s="3">
        <v>4000</v>
      </c>
      <c r="C47" s="3">
        <v>0.31034</v>
      </c>
      <c r="D47" s="3">
        <v>8.0274999999999999E-2</v>
      </c>
      <c r="E47" s="3">
        <f t="shared" ref="E47:E58" si="3">D47+C47</f>
        <v>0.39061499999999999</v>
      </c>
      <c r="F47" s="4">
        <v>1</v>
      </c>
      <c r="G47" s="3">
        <f>$D$46*A47/D47</f>
        <v>2.3921270632201805</v>
      </c>
      <c r="H47" s="3">
        <f>G47/A47</f>
        <v>0.59803176580504513</v>
      </c>
    </row>
    <row r="48" spans="1:8" x14ac:dyDescent="0.25">
      <c r="A48" s="4">
        <v>8</v>
      </c>
      <c r="B48" s="4">
        <v>5657</v>
      </c>
      <c r="C48" s="4">
        <v>0.61943599999999999</v>
      </c>
      <c r="D48" s="4">
        <v>0.18398100000000001</v>
      </c>
      <c r="E48" s="3">
        <f t="shared" si="3"/>
        <v>0.80341700000000005</v>
      </c>
      <c r="F48" s="4">
        <v>1</v>
      </c>
      <c r="G48" s="3">
        <f t="shared" ref="G48:G58" si="4">$D$46*A48/D48</f>
        <v>2.0874764241959767</v>
      </c>
      <c r="H48" s="3">
        <f t="shared" ref="H48:H58" si="5">G48/A48</f>
        <v>0.26093455302449708</v>
      </c>
    </row>
    <row r="49" spans="1:8" x14ac:dyDescent="0.25">
      <c r="A49" s="3">
        <v>12</v>
      </c>
      <c r="B49" s="3">
        <v>6928</v>
      </c>
      <c r="C49" s="3">
        <v>0.93013900000000005</v>
      </c>
      <c r="D49" s="3">
        <v>0.24859600000000001</v>
      </c>
      <c r="E49" s="3">
        <f t="shared" si="3"/>
        <v>1.1787350000000001</v>
      </c>
      <c r="F49" s="4">
        <v>1</v>
      </c>
      <c r="G49" s="3">
        <f t="shared" si="4"/>
        <v>2.3173502389418976</v>
      </c>
      <c r="H49" s="3">
        <f t="shared" si="5"/>
        <v>0.19311251991182479</v>
      </c>
    </row>
    <row r="50" spans="1:8" x14ac:dyDescent="0.25">
      <c r="A50" s="4">
        <v>16</v>
      </c>
      <c r="B50" s="4">
        <v>8000</v>
      </c>
      <c r="C50" s="4">
        <v>1.241379</v>
      </c>
      <c r="D50" s="4">
        <v>0.32297399999999998</v>
      </c>
      <c r="E50" s="3">
        <f t="shared" si="3"/>
        <v>1.5643530000000001</v>
      </c>
      <c r="F50" s="4">
        <v>1</v>
      </c>
      <c r="G50" s="3">
        <f t="shared" si="4"/>
        <v>2.3782471654065036</v>
      </c>
      <c r="H50" s="3">
        <f t="shared" si="5"/>
        <v>0.14864044783790648</v>
      </c>
    </row>
    <row r="51" spans="1:8" x14ac:dyDescent="0.25">
      <c r="A51" s="3">
        <v>20</v>
      </c>
      <c r="B51" s="3">
        <v>8944</v>
      </c>
      <c r="C51" s="3">
        <v>1.5494619999999999</v>
      </c>
      <c r="D51" s="3">
        <v>0.39886100000000002</v>
      </c>
      <c r="E51" s="3">
        <f t="shared" si="3"/>
        <v>1.9483229999999998</v>
      </c>
      <c r="F51" s="4">
        <v>1</v>
      </c>
      <c r="G51" s="3">
        <f t="shared" si="4"/>
        <v>2.4072045148560526</v>
      </c>
      <c r="H51" s="3">
        <f t="shared" si="5"/>
        <v>0.12036022574280263</v>
      </c>
    </row>
    <row r="52" spans="1:8" x14ac:dyDescent="0.25">
      <c r="A52" s="4">
        <v>24</v>
      </c>
      <c r="B52" s="4">
        <v>9798</v>
      </c>
      <c r="C52" s="4">
        <v>1.860447</v>
      </c>
      <c r="D52" s="4">
        <v>0.47455199999999997</v>
      </c>
      <c r="E52" s="3">
        <f t="shared" si="3"/>
        <v>2.3349989999999998</v>
      </c>
      <c r="F52" s="4">
        <v>1</v>
      </c>
      <c r="G52" s="3">
        <f t="shared" si="4"/>
        <v>2.4279067415162094</v>
      </c>
      <c r="H52" s="3">
        <f t="shared" si="5"/>
        <v>0.10116278089650872</v>
      </c>
    </row>
    <row r="53" spans="1:8" x14ac:dyDescent="0.25">
      <c r="A53" s="3">
        <v>28</v>
      </c>
      <c r="B53" s="3">
        <v>10583</v>
      </c>
      <c r="C53" s="3">
        <v>2.1686359999999998</v>
      </c>
      <c r="D53" s="3">
        <v>0.54173899999999997</v>
      </c>
      <c r="E53" s="3">
        <f t="shared" si="3"/>
        <v>2.710375</v>
      </c>
      <c r="F53" s="4">
        <v>1</v>
      </c>
      <c r="G53" s="3">
        <f t="shared" si="4"/>
        <v>2.4812612715717348</v>
      </c>
      <c r="H53" s="3">
        <f t="shared" si="5"/>
        <v>8.8616473984704819E-2</v>
      </c>
    </row>
    <row r="54" spans="1:8" x14ac:dyDescent="0.25">
      <c r="A54" s="4">
        <v>32</v>
      </c>
      <c r="B54" s="4">
        <v>11314</v>
      </c>
      <c r="C54" s="4">
        <v>2.4806439999999998</v>
      </c>
      <c r="D54" s="4">
        <v>0.61991200000000002</v>
      </c>
      <c r="E54" s="3">
        <f t="shared" si="3"/>
        <v>3.1005560000000001</v>
      </c>
      <c r="F54" s="4">
        <v>1</v>
      </c>
      <c r="G54" s="3">
        <f t="shared" si="4"/>
        <v>2.4781323800797534</v>
      </c>
      <c r="H54" s="3">
        <f t="shared" si="5"/>
        <v>7.7441636877492295E-2</v>
      </c>
    </row>
    <row r="55" spans="1:8" x14ac:dyDescent="0.25">
      <c r="A55" s="3">
        <v>36</v>
      </c>
      <c r="B55" s="3">
        <v>12000</v>
      </c>
      <c r="C55" s="3">
        <v>2.793498</v>
      </c>
      <c r="D55" s="3">
        <v>0.72763999999999995</v>
      </c>
      <c r="E55" s="3">
        <f t="shared" si="3"/>
        <v>3.5211380000000001</v>
      </c>
      <c r="F55" s="4">
        <v>1</v>
      </c>
      <c r="G55" s="3">
        <f t="shared" si="4"/>
        <v>2.3751470507393768</v>
      </c>
      <c r="H55" s="3">
        <f t="shared" si="5"/>
        <v>6.5976306964982689E-2</v>
      </c>
    </row>
    <row r="56" spans="1:8" x14ac:dyDescent="0.25">
      <c r="A56" s="4">
        <v>40</v>
      </c>
      <c r="B56" s="4">
        <v>12649</v>
      </c>
      <c r="C56" s="4">
        <v>3.1280239999999999</v>
      </c>
      <c r="D56" s="4">
        <v>0.84674099999999997</v>
      </c>
      <c r="E56" s="3">
        <f t="shared" si="3"/>
        <v>3.9747649999999997</v>
      </c>
      <c r="F56" s="4">
        <v>1</v>
      </c>
      <c r="G56" s="3">
        <f t="shared" si="4"/>
        <v>2.2678481377422375</v>
      </c>
      <c r="H56" s="3">
        <f t="shared" si="5"/>
        <v>5.6696203443555936E-2</v>
      </c>
    </row>
    <row r="57" spans="1:8" x14ac:dyDescent="0.25">
      <c r="A57" s="3">
        <v>44</v>
      </c>
      <c r="B57" s="3">
        <v>13266</v>
      </c>
      <c r="C57" s="3">
        <v>3.4824459999999999</v>
      </c>
      <c r="D57" s="3">
        <v>1.4924740000000001</v>
      </c>
      <c r="E57" s="3">
        <f t="shared" si="3"/>
        <v>4.97492</v>
      </c>
      <c r="F57" s="4">
        <v>1</v>
      </c>
      <c r="G57" s="3">
        <f t="shared" si="4"/>
        <v>1.4153063972973734</v>
      </c>
      <c r="H57" s="3">
        <f t="shared" si="5"/>
        <v>3.216605448403121E-2</v>
      </c>
    </row>
    <row r="58" spans="1:8" x14ac:dyDescent="0.25">
      <c r="A58" s="4">
        <v>48</v>
      </c>
      <c r="B58" s="4">
        <v>13856</v>
      </c>
      <c r="C58" s="4">
        <v>3.857148</v>
      </c>
      <c r="D58" s="4">
        <v>1.0088109999999999</v>
      </c>
      <c r="E58" s="3">
        <f t="shared" si="3"/>
        <v>4.8659590000000001</v>
      </c>
      <c r="F58" s="4">
        <v>1</v>
      </c>
      <c r="G58" s="3">
        <f t="shared" si="4"/>
        <v>2.2842098272124316</v>
      </c>
      <c r="H58" s="3">
        <f t="shared" si="5"/>
        <v>4.7587704733592327E-2</v>
      </c>
    </row>
  </sheetData>
  <mergeCells count="2">
    <mergeCell ref="A1:H1"/>
    <mergeCell ref="A44:H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F1C71-7097-4D4B-9E0B-B83EA494B0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mpi 1 node</vt:lpstr>
      <vt:lpstr>omp</vt:lpstr>
      <vt:lpstr>Sintesi</vt:lpstr>
      <vt:lpstr>mpi 25nodes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 De Luca</cp:lastModifiedBy>
  <dcterms:created xsi:type="dcterms:W3CDTF">2015-06-05T18:17:20Z</dcterms:created>
  <dcterms:modified xsi:type="dcterms:W3CDTF">2026-01-18T16:25:57Z</dcterms:modified>
</cp:coreProperties>
</file>